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4.xml" ContentType="application/vnd.openxmlformats-officedocument.drawingml.chartshapes+xml"/>
  <Override PartName="/xl/pivotTables/pivotTable6.xml" ContentType="application/vnd.openxmlformats-officedocument.spreadsheetml.pivotTable+xml"/>
  <Override PartName="/xl/drawings/drawing5.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6.xml" ContentType="application/vnd.openxmlformats-officedocument.drawingml.chartshapes+xml"/>
  <Override PartName="/xl/pivotTables/pivotTable7.xml" ContentType="application/vnd.openxmlformats-officedocument.spreadsheetml.pivotTable+xml"/>
  <Override PartName="/xl/drawings/drawing7.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8.xml" ContentType="application/vnd.openxmlformats-officedocument.drawingml.chartshapes+xml"/>
  <Override PartName="/xl/pivotTables/pivotTable8.xml" ContentType="application/vnd.openxmlformats-officedocument.spreadsheetml.pivotTable+xml"/>
  <Override PartName="/xl/drawings/drawing9.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10.xml" ContentType="application/vnd.openxmlformats-officedocument.drawingml.chartshapes+xml"/>
  <Override PartName="/xl/drawings/drawing11.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12.xml" ContentType="application/vnd.openxmlformats-officedocument.drawingml.chartshapes+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13.xml" ContentType="application/vnd.openxmlformats-officedocument.drawingml.chartshapes+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14.xml" ContentType="application/vnd.openxmlformats-officedocument.drawingml.chartshapes+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15.xml" ContentType="application/vnd.openxmlformats-officedocument.drawingml.chartshapes+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16.xml" ContentType="application/vnd.openxmlformats-officedocument.drawingml.chartshape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Dell\Desktop\Applications\"/>
    </mc:Choice>
  </mc:AlternateContent>
  <xr:revisionPtr revIDLastSave="0" documentId="8_{AE06DEB1-5065-4728-980A-626AE1ECD635}" xr6:coauthVersionLast="47" xr6:coauthVersionMax="47" xr10:uidLastSave="{00000000-0000-0000-0000-000000000000}"/>
  <bookViews>
    <workbookView xWindow="1837" yWindow="0" windowWidth="12338" windowHeight="10162" firstSheet="6" activeTab="6" xr2:uid="{D31E065E-D5E4-4107-8468-431A21EF852A}"/>
  </bookViews>
  <sheets>
    <sheet name="Region" sheetId="2" state="hidden" r:id="rId1"/>
    <sheet name="Sheet1" sheetId="8" state="hidden" r:id="rId2"/>
    <sheet name="Airline Revenue" sheetId="3" state="hidden" r:id="rId3"/>
    <sheet name="Passenger" sheetId="4" state="hidden" r:id="rId4"/>
    <sheet name="Bus Model" sheetId="5" state="hidden" r:id="rId5"/>
    <sheet name="5 Year Trend" sheetId="6" state="hidden" r:id="rId6"/>
    <sheet name="Dashboard" sheetId="7" r:id="rId7"/>
    <sheet name="Airline Business" sheetId="1" state="hidden" r:id="rId8"/>
  </sheets>
  <definedNames>
    <definedName name="Slicer_airline_name">#N/A</definedName>
    <definedName name="Slicer_region">#N/A</definedName>
    <definedName name="Slicer_year">#N/A</definedName>
  </definedNames>
  <calcPr calcId="191029"/>
  <pivotCaches>
    <pivotCache cacheId="1" r:id="rId9"/>
  </pivotCaches>
  <extLst>
    <ext xmlns:x14="http://schemas.microsoft.com/office/spreadsheetml/2009/9/main" uri="{BBE1A952-AA13-448e-AADC-164F8A28A991}">
      <x14:slicerCaches>
        <x14:slicerCache r:id="rId10"/>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C11" i="8" l="1"/>
  <c r="C8" i="8"/>
  <c r="C4" i="8"/>
  <c r="F151" i="1"/>
  <c r="G151" i="1"/>
  <c r="E151" i="1"/>
</calcChain>
</file>

<file path=xl/sharedStrings.xml><?xml version="1.0" encoding="utf-8"?>
<sst xmlns="http://schemas.openxmlformats.org/spreadsheetml/2006/main" count="579" uniqueCount="69">
  <si>
    <t>year</t>
  </si>
  <si>
    <t>airline_name</t>
  </si>
  <si>
    <t>region</t>
  </si>
  <si>
    <t>business_model</t>
  </si>
  <si>
    <t>revenue_usd_bn</t>
  </si>
  <si>
    <t>operating_income_usd_bn</t>
  </si>
  <si>
    <t>passengers_carried_m</t>
  </si>
  <si>
    <t>fleet_size_est</t>
  </si>
  <si>
    <t>Delta Air Lines</t>
  </si>
  <si>
    <t>North America</t>
  </si>
  <si>
    <t>legacy</t>
  </si>
  <si>
    <t>United Airlines</t>
  </si>
  <si>
    <t>American Airlines</t>
  </si>
  <si>
    <t>Lufthansa Group</t>
  </si>
  <si>
    <t>Europe</t>
  </si>
  <si>
    <t>Air France-KLM</t>
  </si>
  <si>
    <t>Emirates</t>
  </si>
  <si>
    <t>Middle East</t>
  </si>
  <si>
    <t>IAG (British Airways)</t>
  </si>
  <si>
    <t>Southwest Airlines</t>
  </si>
  <si>
    <t>low_cost</t>
  </si>
  <si>
    <t>China Southern</t>
  </si>
  <si>
    <t>Asia</t>
  </si>
  <si>
    <t>Air China</t>
  </si>
  <si>
    <t>Turkish Airlines</t>
  </si>
  <si>
    <t>Qatar Airways</t>
  </si>
  <si>
    <t>China Eastern</t>
  </si>
  <si>
    <t>ANA Holdings</t>
  </si>
  <si>
    <t>Singapore Airlines</t>
  </si>
  <si>
    <t>Ryanair</t>
  </si>
  <si>
    <t>Cathay Pacific</t>
  </si>
  <si>
    <t>Korean Air</t>
  </si>
  <si>
    <t>Japan Airlines</t>
  </si>
  <si>
    <t>LATAM Airlines</t>
  </si>
  <si>
    <t>Latin America</t>
  </si>
  <si>
    <t>Alaska Airlines</t>
  </si>
  <si>
    <t>regional</t>
  </si>
  <si>
    <t>easyJet</t>
  </si>
  <si>
    <t>JetBlue</t>
  </si>
  <si>
    <t>IndiGo</t>
  </si>
  <si>
    <t>Saudia</t>
  </si>
  <si>
    <t>Etihad</t>
  </si>
  <si>
    <t>Aeroflot</t>
  </si>
  <si>
    <t>AirAsia</t>
  </si>
  <si>
    <t>Azul</t>
  </si>
  <si>
    <t>Riyadh Air</t>
  </si>
  <si>
    <t>Sum of revenue_usd_bn</t>
  </si>
  <si>
    <t>Row Labels</t>
  </si>
  <si>
    <t>Grand Total</t>
  </si>
  <si>
    <t>Column Labels</t>
  </si>
  <si>
    <t>Airliner</t>
  </si>
  <si>
    <t>Revenue</t>
  </si>
  <si>
    <t>Airline</t>
  </si>
  <si>
    <t>Op. Revenue</t>
  </si>
  <si>
    <t>Model</t>
  </si>
  <si>
    <t>Passenger</t>
  </si>
  <si>
    <t>Airliners</t>
  </si>
  <si>
    <t>Yr 2022</t>
  </si>
  <si>
    <t>Yr 2023</t>
  </si>
  <si>
    <t>Yr 2024</t>
  </si>
  <si>
    <t>Yr 2025</t>
  </si>
  <si>
    <t>Yr 2026</t>
  </si>
  <si>
    <t xml:space="preserve">                        </t>
  </si>
  <si>
    <t>Region</t>
  </si>
  <si>
    <t>South America</t>
  </si>
  <si>
    <t>Africa</t>
  </si>
  <si>
    <t xml:space="preserve">                                                                        </t>
  </si>
  <si>
    <t>Sum of operating_income_usd_bn</t>
  </si>
  <si>
    <t>Sum of passengers_carried_m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</si>
</sst>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 #,##0.00_-;_-* &quot;-&quot;??_-;_-@_-"/>
    <numFmt numFmtId="168" formatCode="_-* #,##0_-;\-* #,##0_-;_-* &quot;-&quot;??_-;_-@_-"/>
  </numFmts>
  <fonts count="4" x14ac:knownFonts="1">
    <font>
      <sz val="11"/>
      <color theme="1"/>
      <name val="Aptos Narrow"/>
      <family val="2"/>
      <scheme val="minor"/>
    </font>
    <font>
      <b/>
      <sz val="11"/>
      <color theme="1"/>
      <name val="Aptos Narrow"/>
      <family val="2"/>
      <scheme val="minor"/>
    </font>
    <font>
      <sz val="11"/>
      <color theme="1"/>
      <name val="Aptos Narrow"/>
      <family val="2"/>
      <scheme val="minor"/>
    </font>
    <font>
      <sz val="11"/>
      <color rgb="FFFF0000"/>
      <name val="Aptos Narrow"/>
      <family val="2"/>
      <scheme val="minor"/>
    </font>
  </fonts>
  <fills count="4">
    <fill>
      <patternFill patternType="none"/>
    </fill>
    <fill>
      <patternFill patternType="gray125"/>
    </fill>
    <fill>
      <patternFill patternType="solid">
        <fgColor theme="4" tint="0.79998168889431442"/>
        <bgColor theme="4" tint="0.79998168889431442"/>
      </patternFill>
    </fill>
    <fill>
      <patternFill patternType="solid">
        <fgColor theme="0"/>
        <bgColor indexed="64"/>
      </patternFill>
    </fill>
  </fills>
  <borders count="3">
    <border>
      <left/>
      <right/>
      <top/>
      <bottom/>
      <diagonal/>
    </border>
    <border>
      <left/>
      <right/>
      <top/>
      <bottom style="thin">
        <color theme="4" tint="0.39997558519241921"/>
      </bottom>
      <diagonal/>
    </border>
    <border>
      <left style="thin">
        <color indexed="64"/>
      </left>
      <right style="thin">
        <color indexed="64"/>
      </right>
      <top style="thin">
        <color indexed="64"/>
      </top>
      <bottom style="thin">
        <color indexed="64"/>
      </bottom>
      <diagonal/>
    </border>
  </borders>
  <cellStyleXfs count="2">
    <xf numFmtId="0" fontId="0" fillId="0" borderId="0"/>
    <xf numFmtId="43" fontId="2" fillId="0" borderId="0" applyFont="0" applyFill="0" applyBorder="0" applyAlignment="0" applyProtection="0"/>
  </cellStyleXfs>
  <cellXfs count="22">
    <xf numFmtId="0" fontId="0" fillId="0" borderId="0" xfId="0"/>
    <xf numFmtId="0" fontId="1" fillId="2" borderId="1" xfId="0" applyFont="1" applyFill="1" applyBorder="1"/>
    <xf numFmtId="0" fontId="0" fillId="0" borderId="0" xfId="0" pivotButton="1"/>
    <xf numFmtId="0" fontId="0" fillId="0" borderId="0" xfId="0" applyAlignment="1">
      <alignment horizontal="left"/>
    </xf>
    <xf numFmtId="0" fontId="1" fillId="2" borderId="0" xfId="0" applyFont="1" applyFill="1"/>
    <xf numFmtId="43" fontId="0" fillId="0" borderId="0" xfId="0" applyNumberFormat="1"/>
    <xf numFmtId="0" fontId="1" fillId="2" borderId="1" xfId="0" applyFont="1" applyFill="1" applyBorder="1" applyAlignment="1">
      <alignment horizontal="center"/>
    </xf>
    <xf numFmtId="0" fontId="1" fillId="2" borderId="2" xfId="0" applyFont="1" applyFill="1" applyBorder="1" applyAlignment="1">
      <alignment horizontal="center"/>
    </xf>
    <xf numFmtId="0" fontId="0" fillId="0" borderId="2" xfId="0" applyBorder="1" applyAlignment="1">
      <alignment horizontal="left"/>
    </xf>
    <xf numFmtId="0" fontId="0" fillId="0" borderId="2" xfId="0" applyBorder="1"/>
    <xf numFmtId="0" fontId="0" fillId="0" borderId="0" xfId="0" pivotButton="1" applyAlignment="1">
      <alignment horizontal="center"/>
    </xf>
    <xf numFmtId="0" fontId="0" fillId="0" borderId="0" xfId="0" applyAlignment="1">
      <alignment horizontal="center"/>
    </xf>
    <xf numFmtId="0" fontId="0" fillId="0" borderId="0" xfId="0" applyAlignment="1">
      <alignment wrapText="1"/>
    </xf>
    <xf numFmtId="0" fontId="1" fillId="2" borderId="0" xfId="0" applyFont="1" applyFill="1" applyAlignment="1">
      <alignment wrapText="1"/>
    </xf>
    <xf numFmtId="0" fontId="1" fillId="2" borderId="1" xfId="0" applyFont="1" applyFill="1" applyBorder="1" applyAlignment="1">
      <alignment wrapText="1"/>
    </xf>
    <xf numFmtId="0" fontId="0" fillId="3" borderId="0" xfId="0" applyFill="1"/>
    <xf numFmtId="1" fontId="0" fillId="0" borderId="0" xfId="0" applyNumberFormat="1"/>
    <xf numFmtId="0" fontId="0" fillId="0" borderId="0" xfId="0" applyNumberFormat="1"/>
    <xf numFmtId="0" fontId="3" fillId="3" borderId="0" xfId="0" applyFont="1" applyFill="1"/>
    <xf numFmtId="2" fontId="0" fillId="0" borderId="0" xfId="0" applyNumberFormat="1"/>
    <xf numFmtId="43" fontId="0" fillId="0" borderId="0" xfId="1" applyFont="1"/>
    <xf numFmtId="168" fontId="0" fillId="0" borderId="0" xfId="1" applyNumberFormat="1" applyFont="1"/>
  </cellXfs>
  <cellStyles count="2">
    <cellStyle name="Comma" xfId="1" builtinId="3"/>
    <cellStyle name="Normal" xfId="0" builtinId="0"/>
  </cellStyles>
  <dxfs count="501">
    <dxf>
      <alignment horizontal="center"/>
    </dxf>
    <dxf>
      <alignment horizontal="center"/>
    </dxf>
    <dxf>
      <numFmt numFmtId="1" formatCode="0"/>
    </dxf>
    <dxf>
      <numFmt numFmtId="35" formatCode="_-* #,##0.00_-;\-* #,##0.00_-;_-* &quot;-&quot;??_-;_-@_-"/>
    </dxf>
    <dxf>
      <alignment horizontal="center"/>
    </dxf>
    <dxf>
      <alignment horizontal="center"/>
    </dxf>
    <dxf>
      <numFmt numFmtId="1" formatCode="0"/>
    </dxf>
    <dxf>
      <numFmt numFmtId="1" formatCode="0"/>
    </dxf>
    <dxf>
      <alignment wrapText="1"/>
    </dxf>
    <dxf>
      <numFmt numFmtId="2" formatCode="0.00"/>
    </dxf>
    <dxf>
      <numFmt numFmtId="2" formatCode="0.00"/>
    </dxf>
    <dxf>
      <numFmt numFmtId="2" formatCode="0.00"/>
    </dxf>
    <dxf>
      <numFmt numFmtId="35" formatCode="_-* #,##0.00_-;\-* #,##0.00_-;_-* &quot;-&quot;??_-;_-@_-"/>
    </dxf>
    <dxf>
      <alignment horizontal="center"/>
    </dxf>
    <dxf>
      <alignment horizontal="center"/>
    </dxf>
    <dxf>
      <numFmt numFmtId="1" formatCode="0"/>
    </dxf>
    <dxf>
      <numFmt numFmtId="35" formatCode="_-* #,##0.00_-;\-* #,##0.00_-;_-* &quot;-&quot;??_-;_-@_-"/>
    </dxf>
    <dxf>
      <alignment horizontal="center"/>
    </dxf>
    <dxf>
      <alignment horizontal="center"/>
    </dxf>
    <dxf>
      <numFmt numFmtId="1" formatCode="0"/>
    </dxf>
    <dxf>
      <numFmt numFmtId="1" formatCode="0"/>
    </dxf>
    <dxf>
      <alignment wrapText="1"/>
    </dxf>
    <dxf>
      <numFmt numFmtId="2" formatCode="0.00"/>
    </dxf>
    <dxf>
      <numFmt numFmtId="2" formatCode="0.00"/>
    </dxf>
    <dxf>
      <numFmt numFmtId="2" formatCode="0.00"/>
    </dxf>
    <dxf>
      <numFmt numFmtId="35" formatCode="_-* #,##0.00_-;\-* #,##0.00_-;_-* &quot;-&quot;??_-;_-@_-"/>
    </dxf>
    <dxf>
      <numFmt numFmtId="2" formatCode="0.00"/>
    </dxf>
    <dxf>
      <numFmt numFmtId="2" formatCode="0.00"/>
    </dxf>
    <dxf>
      <numFmt numFmtId="2" formatCode="0.00"/>
    </dxf>
    <dxf>
      <alignment horizontal="center"/>
    </dxf>
    <dxf>
      <alignment horizontal="center"/>
    </dxf>
    <dxf>
      <numFmt numFmtId="1" formatCode="0"/>
    </dxf>
    <dxf>
      <numFmt numFmtId="35" formatCode="_-* #,##0.00_-;\-* #,##0.00_-;_-* &quot;-&quot;??_-;_-@_-"/>
    </dxf>
    <dxf>
      <alignment horizontal="center"/>
    </dxf>
    <dxf>
      <alignment horizontal="center"/>
    </dxf>
    <dxf>
      <numFmt numFmtId="1" formatCode="0"/>
    </dxf>
    <dxf>
      <numFmt numFmtId="1" formatCode="0"/>
    </dxf>
    <dxf>
      <alignment wrapText="1"/>
    </dxf>
    <dxf>
      <numFmt numFmtId="35" formatCode="_-* #,##0.00_-;\-* #,##0.00_-;_-* &quot;-&quot;??_-;_-@_-"/>
    </dxf>
    <dxf>
      <numFmt numFmtId="2" formatCode="0.00"/>
    </dxf>
    <dxf>
      <numFmt numFmtId="2" formatCode="0.00"/>
    </dxf>
    <dxf>
      <numFmt numFmtId="2" formatCode="0.00"/>
    </dxf>
    <dxf>
      <alignment horizontal="center"/>
    </dxf>
    <dxf>
      <alignment horizontal="center"/>
    </dxf>
    <dxf>
      <numFmt numFmtId="1" formatCode="0"/>
    </dxf>
    <dxf>
      <numFmt numFmtId="35" formatCode="_-* #,##0.00_-;\-* #,##0.00_-;_-* &quot;-&quot;??_-;_-@_-"/>
    </dxf>
    <dxf>
      <alignment horizontal="center"/>
    </dxf>
    <dxf>
      <alignment horizontal="center"/>
    </dxf>
    <dxf>
      <numFmt numFmtId="1" formatCode="0"/>
    </dxf>
    <dxf>
      <numFmt numFmtId="1" formatCode="0"/>
    </dxf>
    <dxf>
      <alignment wrapText="1"/>
    </dxf>
    <dxf>
      <numFmt numFmtId="35" formatCode="_-* #,##0.00_-;\-* #,##0.00_-;_-* &quot;-&quot;??_-;_-@_-"/>
    </dxf>
    <dxf>
      <numFmt numFmtId="2" formatCode="0.00"/>
    </dxf>
    <dxf>
      <numFmt numFmtId="2" formatCode="0.00"/>
    </dxf>
    <dxf>
      <numFmt numFmtId="2" formatCode="0.00"/>
    </dxf>
    <dxf>
      <alignment horizontal="center"/>
    </dxf>
    <dxf>
      <alignment horizontal="center"/>
    </dxf>
    <dxf>
      <numFmt numFmtId="1" formatCode="0"/>
    </dxf>
    <dxf>
      <numFmt numFmtId="35" formatCode="_-* #,##0.00_-;\-* #,##0.00_-;_-* &quot;-&quot;??_-;_-@_-"/>
    </dxf>
    <dxf>
      <alignment horizontal="center"/>
    </dxf>
    <dxf>
      <alignment horizontal="center"/>
    </dxf>
    <dxf>
      <numFmt numFmtId="1" formatCode="0"/>
    </dxf>
    <dxf>
      <numFmt numFmtId="1" formatCode="0"/>
    </dxf>
    <dxf>
      <alignment wrapText="1"/>
    </dxf>
    <dxf>
      <numFmt numFmtId="35" formatCode="_-* #,##0.00_-;\-* #,##0.00_-;_-* &quot;-&quot;??_-;_-@_-"/>
    </dxf>
    <dxf>
      <alignment horizontal="center"/>
    </dxf>
    <dxf>
      <alignment horizontal="center"/>
    </dxf>
    <dxf>
      <numFmt numFmtId="1" formatCode="0"/>
    </dxf>
    <dxf>
      <numFmt numFmtId="35" formatCode="_-* #,##0.00_-;\-* #,##0.00_-;_-* &quot;-&quot;??_-;_-@_-"/>
    </dxf>
    <dxf>
      <alignment horizontal="center"/>
    </dxf>
    <dxf>
      <alignment horizontal="center"/>
    </dxf>
    <dxf>
      <numFmt numFmtId="1" formatCode="0"/>
    </dxf>
    <dxf>
      <numFmt numFmtId="1" formatCode="0"/>
    </dxf>
    <dxf>
      <alignment wrapText="1"/>
    </dxf>
    <dxf>
      <numFmt numFmtId="2" formatCode="0.00"/>
    </dxf>
    <dxf>
      <numFmt numFmtId="2" formatCode="0.00"/>
    </dxf>
    <dxf>
      <numFmt numFmtId="2" formatCode="0.00"/>
    </dxf>
    <dxf>
      <numFmt numFmtId="35" formatCode="_-* #,##0.00_-;\-* #,##0.00_-;_-* &quot;-&quot;??_-;_-@_-"/>
    </dxf>
    <dxf>
      <alignment horizontal="center"/>
    </dxf>
    <dxf>
      <alignment horizontal="center"/>
    </dxf>
    <dxf>
      <numFmt numFmtId="1" formatCode="0"/>
    </dxf>
    <dxf>
      <numFmt numFmtId="35" formatCode="_-* #,##0.00_-;\-* #,##0.00_-;_-* &quot;-&quot;??_-;_-@_-"/>
    </dxf>
    <dxf>
      <alignment horizontal="center"/>
    </dxf>
    <dxf>
      <alignment horizontal="center"/>
    </dxf>
    <dxf>
      <numFmt numFmtId="1" formatCode="0"/>
    </dxf>
    <dxf>
      <numFmt numFmtId="1" formatCode="0"/>
    </dxf>
    <dxf>
      <alignment wrapText="1"/>
    </dxf>
    <dxf>
      <numFmt numFmtId="2" formatCode="0.00"/>
    </dxf>
    <dxf>
      <numFmt numFmtId="2" formatCode="0.00"/>
    </dxf>
    <dxf>
      <numFmt numFmtId="2" formatCode="0.00"/>
    </dxf>
    <dxf>
      <numFmt numFmtId="35" formatCode="_-* #,##0.00_-;\-* #,##0.00_-;_-* &quot;-&quot;??_-;_-@_-"/>
    </dxf>
    <dxf>
      <numFmt numFmtId="2" formatCode="0.00"/>
    </dxf>
    <dxf>
      <numFmt numFmtId="2" formatCode="0.00"/>
    </dxf>
    <dxf>
      <numFmt numFmtId="2" formatCode="0.00"/>
    </dxf>
    <dxf>
      <alignment horizontal="center"/>
    </dxf>
    <dxf>
      <alignment horizontal="center"/>
    </dxf>
    <dxf>
      <numFmt numFmtId="1" formatCode="0"/>
    </dxf>
    <dxf>
      <numFmt numFmtId="35" formatCode="_-* #,##0.00_-;\-* #,##0.00_-;_-* &quot;-&quot;??_-;_-@_-"/>
    </dxf>
    <dxf>
      <alignment horizontal="center"/>
    </dxf>
    <dxf>
      <alignment horizontal="center"/>
    </dxf>
    <dxf>
      <numFmt numFmtId="1" formatCode="0"/>
    </dxf>
    <dxf>
      <numFmt numFmtId="1" formatCode="0"/>
    </dxf>
    <dxf>
      <alignment wrapText="1"/>
    </dxf>
    <dxf>
      <numFmt numFmtId="35" formatCode="_-* #,##0.00_-;\-* #,##0.00_-;_-* &quot;-&quot;??_-;_-@_-"/>
    </dxf>
    <dxf>
      <numFmt numFmtId="2" formatCode="0.00"/>
    </dxf>
    <dxf>
      <numFmt numFmtId="2" formatCode="0.00"/>
    </dxf>
    <dxf>
      <numFmt numFmtId="2" formatCode="0.00"/>
    </dxf>
    <dxf>
      <alignment horizontal="center"/>
    </dxf>
    <dxf>
      <alignment horizontal="center"/>
    </dxf>
    <dxf>
      <numFmt numFmtId="1" formatCode="0"/>
    </dxf>
    <dxf>
      <numFmt numFmtId="35" formatCode="_-* #,##0.00_-;\-* #,##0.00_-;_-* &quot;-&quot;??_-;_-@_-"/>
    </dxf>
    <dxf>
      <alignment horizontal="center"/>
    </dxf>
    <dxf>
      <alignment horizontal="center"/>
    </dxf>
    <dxf>
      <numFmt numFmtId="1" formatCode="0"/>
    </dxf>
    <dxf>
      <numFmt numFmtId="1" formatCode="0"/>
    </dxf>
    <dxf>
      <alignment wrapText="1"/>
    </dxf>
    <dxf>
      <numFmt numFmtId="35" formatCode="_-* #,##0.00_-;\-* #,##0.00_-;_-* &quot;-&quot;??_-;_-@_-"/>
    </dxf>
    <dxf>
      <numFmt numFmtId="2" formatCode="0.00"/>
    </dxf>
    <dxf>
      <numFmt numFmtId="2" formatCode="0.00"/>
    </dxf>
    <dxf>
      <numFmt numFmtId="2" formatCode="0.00"/>
    </dxf>
    <dxf>
      <alignment horizontal="center"/>
    </dxf>
    <dxf>
      <alignment horizontal="center"/>
    </dxf>
    <dxf>
      <numFmt numFmtId="1" formatCode="0"/>
    </dxf>
    <dxf>
      <numFmt numFmtId="35" formatCode="_-* #,##0.00_-;\-* #,##0.00_-;_-* &quot;-&quot;??_-;_-@_-"/>
    </dxf>
    <dxf>
      <alignment horizontal="center"/>
    </dxf>
    <dxf>
      <alignment horizontal="center"/>
    </dxf>
    <dxf>
      <numFmt numFmtId="1" formatCode="0"/>
    </dxf>
    <dxf>
      <numFmt numFmtId="1" formatCode="0"/>
    </dxf>
    <dxf>
      <alignment wrapText="1"/>
    </dxf>
    <dxf>
      <numFmt numFmtId="35" formatCode="_-* #,##0.00_-;\-* #,##0.00_-;_-* &quot;-&quot;??_-;_-@_-"/>
    </dxf>
    <dxf>
      <numFmt numFmtId="2" formatCode="0.00"/>
    </dxf>
    <dxf>
      <numFmt numFmtId="2" formatCode="0.00"/>
    </dxf>
    <dxf>
      <numFmt numFmtId="2" formatCode="0.00"/>
    </dxf>
    <dxf>
      <alignment horizontal="center"/>
    </dxf>
    <dxf>
      <alignment horizontal="center"/>
    </dxf>
    <dxf>
      <numFmt numFmtId="1" formatCode="0"/>
    </dxf>
    <dxf>
      <numFmt numFmtId="35" formatCode="_-* #,##0.00_-;\-* #,##0.00_-;_-* &quot;-&quot;??_-;_-@_-"/>
    </dxf>
    <dxf>
      <alignment horizontal="center"/>
    </dxf>
    <dxf>
      <alignment horizontal="center"/>
    </dxf>
    <dxf>
      <numFmt numFmtId="1" formatCode="0"/>
    </dxf>
    <dxf>
      <numFmt numFmtId="1" formatCode="0"/>
    </dxf>
    <dxf>
      <alignment wrapText="1"/>
    </dxf>
    <dxf>
      <numFmt numFmtId="35" formatCode="_-* #,##0.00_-;\-* #,##0.00_-;_-* &quot;-&quot;??_-;_-@_-"/>
    </dxf>
    <dxf>
      <numFmt numFmtId="2" formatCode="0.00"/>
    </dxf>
    <dxf>
      <numFmt numFmtId="2" formatCode="0.00"/>
    </dxf>
    <dxf>
      <numFmt numFmtId="2" formatCode="0.00"/>
    </dxf>
    <dxf>
      <alignment horizontal="center"/>
    </dxf>
    <dxf>
      <alignment horizontal="center"/>
    </dxf>
    <dxf>
      <numFmt numFmtId="1" formatCode="0"/>
    </dxf>
    <dxf>
      <numFmt numFmtId="35" formatCode="_-* #,##0.00_-;\-* #,##0.00_-;_-* &quot;-&quot;??_-;_-@_-"/>
    </dxf>
    <dxf>
      <alignment horizontal="center"/>
    </dxf>
    <dxf>
      <alignment horizontal="center"/>
    </dxf>
    <dxf>
      <numFmt numFmtId="1" formatCode="0"/>
    </dxf>
    <dxf>
      <numFmt numFmtId="1" formatCode="0"/>
    </dxf>
    <dxf>
      <alignment wrapText="1"/>
    </dxf>
    <dxf>
      <numFmt numFmtId="35" formatCode="_-* #,##0.00_-;\-* #,##0.00_-;_-* &quot;-&quot;??_-;_-@_-"/>
    </dxf>
    <dxf>
      <numFmt numFmtId="2" formatCode="0.00"/>
    </dxf>
    <dxf>
      <numFmt numFmtId="2" formatCode="0.00"/>
    </dxf>
    <dxf>
      <numFmt numFmtId="2" formatCode="0.00"/>
    </dxf>
    <dxf>
      <alignment horizontal="center"/>
    </dxf>
    <dxf>
      <alignment horizontal="center"/>
    </dxf>
    <dxf>
      <numFmt numFmtId="1" formatCode="0"/>
    </dxf>
    <dxf>
      <numFmt numFmtId="35" formatCode="_-* #,##0.00_-;\-* #,##0.00_-;_-* &quot;-&quot;??_-;_-@_-"/>
    </dxf>
    <dxf>
      <alignment horizontal="center"/>
    </dxf>
    <dxf>
      <alignment horizontal="center"/>
    </dxf>
    <dxf>
      <numFmt numFmtId="1" formatCode="0"/>
    </dxf>
    <dxf>
      <numFmt numFmtId="1" formatCode="0"/>
    </dxf>
    <dxf>
      <alignment wrapText="1"/>
    </dxf>
    <dxf>
      <numFmt numFmtId="35" formatCode="_-* #,##0.00_-;\-* #,##0.00_-;_-* &quot;-&quot;??_-;_-@_-"/>
    </dxf>
    <dxf>
      <numFmt numFmtId="2" formatCode="0.00"/>
    </dxf>
    <dxf>
      <numFmt numFmtId="2" formatCode="0.00"/>
    </dxf>
    <dxf>
      <numFmt numFmtId="2" formatCode="0.00"/>
    </dxf>
    <dxf>
      <alignment horizontal="center"/>
    </dxf>
    <dxf>
      <alignment horizontal="center"/>
    </dxf>
    <dxf>
      <numFmt numFmtId="1" formatCode="0"/>
    </dxf>
    <dxf>
      <numFmt numFmtId="35" formatCode="_-* #,##0.00_-;\-* #,##0.00_-;_-* &quot;-&quot;??_-;_-@_-"/>
    </dxf>
    <dxf>
      <alignment horizontal="center"/>
    </dxf>
    <dxf>
      <alignment horizontal="center"/>
    </dxf>
    <dxf>
      <numFmt numFmtId="1" formatCode="0"/>
    </dxf>
    <dxf>
      <numFmt numFmtId="1" formatCode="0"/>
    </dxf>
    <dxf>
      <alignment wrapText="1"/>
    </dxf>
    <dxf>
      <numFmt numFmtId="35" formatCode="_-* #,##0.00_-;\-* #,##0.00_-;_-* &quot;-&quot;??_-;_-@_-"/>
    </dxf>
    <dxf>
      <numFmt numFmtId="2" formatCode="0.00"/>
    </dxf>
    <dxf>
      <numFmt numFmtId="2" formatCode="0.00"/>
    </dxf>
    <dxf>
      <numFmt numFmtId="2" formatCode="0.00"/>
    </dxf>
    <dxf>
      <alignment horizontal="center"/>
    </dxf>
    <dxf>
      <alignment horizontal="center"/>
    </dxf>
    <dxf>
      <numFmt numFmtId="1" formatCode="0"/>
    </dxf>
    <dxf>
      <numFmt numFmtId="35" formatCode="_-* #,##0.00_-;\-* #,##0.00_-;_-* &quot;-&quot;??_-;_-@_-"/>
    </dxf>
    <dxf>
      <alignment horizontal="center"/>
    </dxf>
    <dxf>
      <alignment horizontal="center"/>
    </dxf>
    <dxf>
      <numFmt numFmtId="1" formatCode="0"/>
    </dxf>
    <dxf>
      <numFmt numFmtId="1" formatCode="0"/>
    </dxf>
    <dxf>
      <alignment wrapText="1"/>
    </dxf>
    <dxf>
      <numFmt numFmtId="35" formatCode="_-* #,##0.00_-;\-* #,##0.00_-;_-* &quot;-&quot;??_-;_-@_-"/>
    </dxf>
    <dxf>
      <numFmt numFmtId="2" formatCode="0.00"/>
    </dxf>
    <dxf>
      <numFmt numFmtId="2" formatCode="0.00"/>
    </dxf>
    <dxf>
      <numFmt numFmtId="2" formatCode="0.00"/>
    </dxf>
    <dxf>
      <alignment horizontal="center"/>
    </dxf>
    <dxf>
      <alignment horizontal="center"/>
    </dxf>
    <dxf>
      <numFmt numFmtId="1" formatCode="0"/>
    </dxf>
    <dxf>
      <numFmt numFmtId="35" formatCode="_-* #,##0.00_-;\-* #,##0.00_-;_-* &quot;-&quot;??_-;_-@_-"/>
    </dxf>
    <dxf>
      <alignment horizontal="center"/>
    </dxf>
    <dxf>
      <alignment horizontal="center"/>
    </dxf>
    <dxf>
      <numFmt numFmtId="1" formatCode="0"/>
    </dxf>
    <dxf>
      <numFmt numFmtId="1" formatCode="0"/>
    </dxf>
    <dxf>
      <alignment wrapText="1"/>
    </dxf>
    <dxf>
      <numFmt numFmtId="35" formatCode="_-* #,##0.00_-;\-* #,##0.00_-;_-* &quot;-&quot;??_-;_-@_-"/>
    </dxf>
    <dxf>
      <numFmt numFmtId="2" formatCode="0.00"/>
    </dxf>
    <dxf>
      <numFmt numFmtId="2" formatCode="0.00"/>
    </dxf>
    <dxf>
      <numFmt numFmtId="2" formatCode="0.00"/>
    </dxf>
    <dxf>
      <alignment horizontal="center"/>
    </dxf>
    <dxf>
      <alignment horizontal="center"/>
    </dxf>
    <dxf>
      <numFmt numFmtId="1" formatCode="0"/>
    </dxf>
    <dxf>
      <numFmt numFmtId="35" formatCode="_-* #,##0.00_-;\-* #,##0.00_-;_-* &quot;-&quot;??_-;_-@_-"/>
    </dxf>
    <dxf>
      <alignment horizontal="center"/>
    </dxf>
    <dxf>
      <alignment horizontal="center"/>
    </dxf>
    <dxf>
      <numFmt numFmtId="1" formatCode="0"/>
    </dxf>
    <dxf>
      <numFmt numFmtId="1" formatCode="0"/>
    </dxf>
    <dxf>
      <alignment wrapText="1"/>
    </dxf>
    <dxf>
      <numFmt numFmtId="35" formatCode="_-* #,##0.00_-;\-* #,##0.00_-;_-* &quot;-&quot;??_-;_-@_-"/>
    </dxf>
    <dxf>
      <alignment horizontal="center"/>
    </dxf>
    <dxf>
      <alignment horizontal="center"/>
    </dxf>
    <dxf>
      <numFmt numFmtId="1" formatCode="0"/>
    </dxf>
    <dxf>
      <numFmt numFmtId="35" formatCode="_-* #,##0.00_-;\-* #,##0.00_-;_-* &quot;-&quot;??_-;_-@_-"/>
    </dxf>
    <dxf>
      <alignment horizontal="center"/>
    </dxf>
    <dxf>
      <alignment horizontal="center"/>
    </dxf>
    <dxf>
      <numFmt numFmtId="1" formatCode="0"/>
    </dxf>
    <dxf>
      <numFmt numFmtId="1" formatCode="0"/>
    </dxf>
    <dxf>
      <alignment wrapText="1"/>
    </dxf>
    <dxf>
      <numFmt numFmtId="2" formatCode="0.00"/>
    </dxf>
    <dxf>
      <numFmt numFmtId="2" formatCode="0.00"/>
    </dxf>
    <dxf>
      <numFmt numFmtId="2" formatCode="0.00"/>
    </dxf>
    <dxf>
      <numFmt numFmtId="35" formatCode="_-* #,##0.00_-;\-* #,##0.00_-;_-* &quot;-&quot;??_-;_-@_-"/>
    </dxf>
    <dxf>
      <alignment horizontal="center"/>
    </dxf>
    <dxf>
      <alignment horizontal="center"/>
    </dxf>
    <dxf>
      <numFmt numFmtId="1" formatCode="0"/>
    </dxf>
    <dxf>
      <numFmt numFmtId="35" formatCode="_-* #,##0.00_-;\-* #,##0.00_-;_-* &quot;-&quot;??_-;_-@_-"/>
    </dxf>
    <dxf>
      <alignment horizontal="center"/>
    </dxf>
    <dxf>
      <alignment horizontal="center"/>
    </dxf>
    <dxf>
      <numFmt numFmtId="1" formatCode="0"/>
    </dxf>
    <dxf>
      <numFmt numFmtId="1" formatCode="0"/>
    </dxf>
    <dxf>
      <alignment wrapText="1"/>
    </dxf>
    <dxf>
      <numFmt numFmtId="2" formatCode="0.00"/>
    </dxf>
    <dxf>
      <numFmt numFmtId="2" formatCode="0.00"/>
    </dxf>
    <dxf>
      <numFmt numFmtId="2" formatCode="0.00"/>
    </dxf>
    <dxf>
      <numFmt numFmtId="35" formatCode="_-* #,##0.00_-;\-* #,##0.00_-;_-* &quot;-&quot;??_-;_-@_-"/>
    </dxf>
    <dxf>
      <numFmt numFmtId="2" formatCode="0.00"/>
    </dxf>
    <dxf>
      <numFmt numFmtId="2" formatCode="0.00"/>
    </dxf>
    <dxf>
      <numFmt numFmtId="2" formatCode="0.00"/>
    </dxf>
    <dxf>
      <alignment horizontal="center"/>
    </dxf>
    <dxf>
      <alignment horizontal="center"/>
    </dxf>
    <dxf>
      <numFmt numFmtId="1" formatCode="0"/>
    </dxf>
    <dxf>
      <numFmt numFmtId="35" formatCode="_-* #,##0.00_-;\-* #,##0.00_-;_-* &quot;-&quot;??_-;_-@_-"/>
    </dxf>
    <dxf>
      <alignment horizontal="center"/>
    </dxf>
    <dxf>
      <alignment horizontal="center"/>
    </dxf>
    <dxf>
      <numFmt numFmtId="1" formatCode="0"/>
    </dxf>
    <dxf>
      <numFmt numFmtId="1" formatCode="0"/>
    </dxf>
    <dxf>
      <alignment wrapText="1"/>
    </dxf>
    <dxf>
      <numFmt numFmtId="35" formatCode="_-* #,##0.00_-;\-* #,##0.00_-;_-* &quot;-&quot;??_-;_-@_-"/>
    </dxf>
    <dxf>
      <numFmt numFmtId="2" formatCode="0.00"/>
    </dxf>
    <dxf>
      <numFmt numFmtId="2" formatCode="0.00"/>
    </dxf>
    <dxf>
      <numFmt numFmtId="2" formatCode="0.00"/>
    </dxf>
    <dxf>
      <alignment horizontal="center"/>
    </dxf>
    <dxf>
      <alignment horizontal="center"/>
    </dxf>
    <dxf>
      <numFmt numFmtId="1" formatCode="0"/>
    </dxf>
    <dxf>
      <numFmt numFmtId="35" formatCode="_-* #,##0.00_-;\-* #,##0.00_-;_-* &quot;-&quot;??_-;_-@_-"/>
    </dxf>
    <dxf>
      <alignment horizontal="center"/>
    </dxf>
    <dxf>
      <alignment horizontal="center"/>
    </dxf>
    <dxf>
      <numFmt numFmtId="1" formatCode="0"/>
    </dxf>
    <dxf>
      <numFmt numFmtId="1" formatCode="0"/>
    </dxf>
    <dxf>
      <alignment wrapText="1"/>
    </dxf>
    <dxf>
      <numFmt numFmtId="35" formatCode="_-* #,##0.00_-;\-* #,##0.00_-;_-* &quot;-&quot;??_-;_-@_-"/>
    </dxf>
    <dxf>
      <numFmt numFmtId="2" formatCode="0.00"/>
    </dxf>
    <dxf>
      <numFmt numFmtId="2" formatCode="0.00"/>
    </dxf>
    <dxf>
      <numFmt numFmtId="2" formatCode="0.00"/>
    </dxf>
    <dxf>
      <alignment horizontal="center"/>
    </dxf>
    <dxf>
      <alignment horizontal="center"/>
    </dxf>
    <dxf>
      <numFmt numFmtId="1" formatCode="0"/>
    </dxf>
    <dxf>
      <numFmt numFmtId="35" formatCode="_-* #,##0.00_-;\-* #,##0.00_-;_-* &quot;-&quot;??_-;_-@_-"/>
    </dxf>
    <dxf>
      <alignment horizontal="center"/>
    </dxf>
    <dxf>
      <alignment horizontal="center"/>
    </dxf>
    <dxf>
      <numFmt numFmtId="1" formatCode="0"/>
    </dxf>
    <dxf>
      <numFmt numFmtId="1" formatCode="0"/>
    </dxf>
    <dxf>
      <alignment wrapText="1"/>
    </dxf>
    <dxf>
      <numFmt numFmtId="35" formatCode="_-* #,##0.00_-;\-* #,##0.00_-;_-* &quot;-&quot;??_-;_-@_-"/>
    </dxf>
    <dxf>
      <numFmt numFmtId="2" formatCode="0.00"/>
    </dxf>
    <dxf>
      <numFmt numFmtId="2" formatCode="0.00"/>
    </dxf>
    <dxf>
      <numFmt numFmtId="2" formatCode="0.00"/>
    </dxf>
    <dxf>
      <alignment horizontal="center"/>
    </dxf>
    <dxf>
      <alignment horizontal="center"/>
    </dxf>
    <dxf>
      <numFmt numFmtId="1" formatCode="0"/>
    </dxf>
    <dxf>
      <numFmt numFmtId="35" formatCode="_-* #,##0.00_-;\-* #,##0.00_-;_-* &quot;-&quot;??_-;_-@_-"/>
    </dxf>
    <dxf>
      <alignment horizontal="center"/>
    </dxf>
    <dxf>
      <alignment horizontal="center"/>
    </dxf>
    <dxf>
      <numFmt numFmtId="1" formatCode="0"/>
    </dxf>
    <dxf>
      <numFmt numFmtId="1" formatCode="0"/>
    </dxf>
    <dxf>
      <alignment wrapText="1"/>
    </dxf>
    <dxf>
      <numFmt numFmtId="35" formatCode="_-* #,##0.00_-;\-* #,##0.00_-;_-* &quot;-&quot;??_-;_-@_-"/>
    </dxf>
    <dxf>
      <numFmt numFmtId="2" formatCode="0.00"/>
    </dxf>
    <dxf>
      <numFmt numFmtId="2" formatCode="0.00"/>
    </dxf>
    <dxf>
      <numFmt numFmtId="2" formatCode="0.00"/>
    </dxf>
    <dxf>
      <alignment horizontal="center"/>
    </dxf>
    <dxf>
      <alignment horizontal="center"/>
    </dxf>
    <dxf>
      <numFmt numFmtId="1" formatCode="0"/>
    </dxf>
    <dxf>
      <numFmt numFmtId="35" formatCode="_-* #,##0.00_-;\-* #,##0.00_-;_-* &quot;-&quot;??_-;_-@_-"/>
    </dxf>
    <dxf>
      <alignment horizontal="center"/>
    </dxf>
    <dxf>
      <alignment horizontal="center"/>
    </dxf>
    <dxf>
      <numFmt numFmtId="1" formatCode="0"/>
    </dxf>
    <dxf>
      <numFmt numFmtId="1" formatCode="0"/>
    </dxf>
    <dxf>
      <alignment wrapText="1"/>
    </dxf>
    <dxf>
      <numFmt numFmtId="35" formatCode="_-* #,##0.00_-;\-* #,##0.00_-;_-* &quot;-&quot;??_-;_-@_-"/>
    </dxf>
    <dxf>
      <alignment horizontal="center"/>
    </dxf>
    <dxf>
      <alignment horizontal="center"/>
    </dxf>
    <dxf>
      <numFmt numFmtId="1" formatCode="0"/>
    </dxf>
    <dxf>
      <numFmt numFmtId="35" formatCode="_-* #,##0.00_-;\-* #,##0.00_-;_-* &quot;-&quot;??_-;_-@_-"/>
    </dxf>
    <dxf>
      <alignment horizontal="center"/>
    </dxf>
    <dxf>
      <alignment horizontal="center"/>
    </dxf>
    <dxf>
      <numFmt numFmtId="1" formatCode="0"/>
    </dxf>
    <dxf>
      <numFmt numFmtId="1" formatCode="0"/>
    </dxf>
    <dxf>
      <alignment wrapText="1"/>
    </dxf>
    <dxf>
      <numFmt numFmtId="2" formatCode="0.00"/>
    </dxf>
    <dxf>
      <numFmt numFmtId="2" formatCode="0.00"/>
    </dxf>
    <dxf>
      <numFmt numFmtId="2" formatCode="0.00"/>
    </dxf>
    <dxf>
      <numFmt numFmtId="35" formatCode="_-* #,##0.00_-;\-* #,##0.00_-;_-* &quot;-&quot;??_-;_-@_-"/>
    </dxf>
    <dxf>
      <alignment horizontal="center"/>
    </dxf>
    <dxf>
      <alignment horizontal="center"/>
    </dxf>
    <dxf>
      <numFmt numFmtId="1" formatCode="0"/>
    </dxf>
    <dxf>
      <numFmt numFmtId="35" formatCode="_-* #,##0.00_-;\-* #,##0.00_-;_-* &quot;-&quot;??_-;_-@_-"/>
    </dxf>
    <dxf>
      <alignment horizontal="center"/>
    </dxf>
    <dxf>
      <alignment horizontal="center"/>
    </dxf>
    <dxf>
      <numFmt numFmtId="1" formatCode="0"/>
    </dxf>
    <dxf>
      <numFmt numFmtId="1" formatCode="0"/>
    </dxf>
    <dxf>
      <alignment wrapText="1"/>
    </dxf>
    <dxf>
      <numFmt numFmtId="2" formatCode="0.00"/>
    </dxf>
    <dxf>
      <numFmt numFmtId="2" formatCode="0.00"/>
    </dxf>
    <dxf>
      <numFmt numFmtId="2" formatCode="0.00"/>
    </dxf>
    <dxf>
      <numFmt numFmtId="35" formatCode="_-* #,##0.00_-;\-* #,##0.00_-;_-* &quot;-&quot;??_-;_-@_-"/>
    </dxf>
    <dxf>
      <numFmt numFmtId="2" formatCode="0.00"/>
    </dxf>
    <dxf>
      <numFmt numFmtId="2" formatCode="0.00"/>
    </dxf>
    <dxf>
      <numFmt numFmtId="2" formatCode="0.00"/>
    </dxf>
    <dxf>
      <alignment horizontal="center"/>
    </dxf>
    <dxf>
      <alignment horizontal="center"/>
    </dxf>
    <dxf>
      <numFmt numFmtId="1" formatCode="0"/>
    </dxf>
    <dxf>
      <numFmt numFmtId="35" formatCode="_-* #,##0.00_-;\-* #,##0.00_-;_-* &quot;-&quot;??_-;_-@_-"/>
    </dxf>
    <dxf>
      <alignment horizontal="center"/>
    </dxf>
    <dxf>
      <alignment horizontal="center"/>
    </dxf>
    <dxf>
      <numFmt numFmtId="1" formatCode="0"/>
    </dxf>
    <dxf>
      <numFmt numFmtId="1" formatCode="0"/>
    </dxf>
    <dxf>
      <alignment wrapText="1"/>
    </dxf>
    <dxf>
      <numFmt numFmtId="35" formatCode="_-* #,##0.00_-;\-* #,##0.00_-;_-* &quot;-&quot;??_-;_-@_-"/>
    </dxf>
    <dxf>
      <numFmt numFmtId="2" formatCode="0.00"/>
    </dxf>
    <dxf>
      <numFmt numFmtId="2" formatCode="0.00"/>
    </dxf>
    <dxf>
      <numFmt numFmtId="2" formatCode="0.00"/>
    </dxf>
    <dxf>
      <alignment horizontal="center"/>
    </dxf>
    <dxf>
      <alignment horizontal="center"/>
    </dxf>
    <dxf>
      <numFmt numFmtId="1" formatCode="0"/>
    </dxf>
    <dxf>
      <numFmt numFmtId="35" formatCode="_-* #,##0.00_-;\-* #,##0.00_-;_-* &quot;-&quot;??_-;_-@_-"/>
    </dxf>
    <dxf>
      <alignment horizontal="center"/>
    </dxf>
    <dxf>
      <alignment horizontal="center"/>
    </dxf>
    <dxf>
      <numFmt numFmtId="1" formatCode="0"/>
    </dxf>
    <dxf>
      <numFmt numFmtId="1" formatCode="0"/>
    </dxf>
    <dxf>
      <alignment wrapText="1"/>
    </dxf>
    <dxf>
      <numFmt numFmtId="35" formatCode="_-* #,##0.00_-;\-* #,##0.00_-;_-* &quot;-&quot;??_-;_-@_-"/>
    </dxf>
    <dxf>
      <numFmt numFmtId="2" formatCode="0.00"/>
    </dxf>
    <dxf>
      <numFmt numFmtId="2" formatCode="0.00"/>
    </dxf>
    <dxf>
      <numFmt numFmtId="2" formatCode="0.00"/>
    </dxf>
    <dxf>
      <alignment horizontal="center"/>
    </dxf>
    <dxf>
      <alignment horizontal="center"/>
    </dxf>
    <dxf>
      <numFmt numFmtId="1" formatCode="0"/>
    </dxf>
    <dxf>
      <numFmt numFmtId="35" formatCode="_-* #,##0.00_-;\-* #,##0.00_-;_-* &quot;-&quot;??_-;_-@_-"/>
    </dxf>
    <dxf>
      <alignment horizontal="center"/>
    </dxf>
    <dxf>
      <alignment horizontal="center"/>
    </dxf>
    <dxf>
      <numFmt numFmtId="1" formatCode="0"/>
    </dxf>
    <dxf>
      <numFmt numFmtId="1" formatCode="0"/>
    </dxf>
    <dxf>
      <alignment wrapText="1"/>
    </dxf>
    <dxf>
      <numFmt numFmtId="35" formatCode="_-* #,##0.00_-;\-* #,##0.00_-;_-* &quot;-&quot;??_-;_-@_-"/>
    </dxf>
    <dxf>
      <numFmt numFmtId="2" formatCode="0.00"/>
    </dxf>
    <dxf>
      <numFmt numFmtId="2" formatCode="0.00"/>
    </dxf>
    <dxf>
      <numFmt numFmtId="2" formatCode="0.00"/>
    </dxf>
    <dxf>
      <alignment horizontal="center"/>
    </dxf>
    <dxf>
      <alignment horizontal="center"/>
    </dxf>
    <dxf>
      <numFmt numFmtId="1" formatCode="0"/>
    </dxf>
    <dxf>
      <numFmt numFmtId="35" formatCode="_-* #,##0.00_-;\-* #,##0.00_-;_-* &quot;-&quot;??_-;_-@_-"/>
    </dxf>
    <dxf>
      <alignment horizontal="center"/>
    </dxf>
    <dxf>
      <alignment horizontal="center"/>
    </dxf>
    <dxf>
      <numFmt numFmtId="1" formatCode="0"/>
    </dxf>
    <dxf>
      <numFmt numFmtId="1" formatCode="0"/>
    </dxf>
    <dxf>
      <alignment wrapText="1"/>
    </dxf>
    <dxf>
      <numFmt numFmtId="35" formatCode="_-* #,##0.00_-;\-* #,##0.00_-;_-* &quot;-&quot;??_-;_-@_-"/>
    </dxf>
    <dxf>
      <numFmt numFmtId="2" formatCode="0.00"/>
    </dxf>
    <dxf>
      <numFmt numFmtId="2" formatCode="0.00"/>
    </dxf>
    <dxf>
      <numFmt numFmtId="2" formatCode="0.00"/>
    </dxf>
    <dxf>
      <alignment horizontal="center"/>
    </dxf>
    <dxf>
      <alignment horizontal="center"/>
    </dxf>
    <dxf>
      <numFmt numFmtId="1" formatCode="0"/>
    </dxf>
    <dxf>
      <numFmt numFmtId="35" formatCode="_-* #,##0.00_-;\-* #,##0.00_-;_-* &quot;-&quot;??_-;_-@_-"/>
    </dxf>
    <dxf>
      <alignment horizontal="center"/>
    </dxf>
    <dxf>
      <alignment horizontal="center"/>
    </dxf>
    <dxf>
      <numFmt numFmtId="1" formatCode="0"/>
    </dxf>
    <dxf>
      <numFmt numFmtId="1" formatCode="0"/>
    </dxf>
    <dxf>
      <alignment wrapText="1"/>
    </dxf>
    <dxf>
      <numFmt numFmtId="35" formatCode="_-* #,##0.00_-;\-* #,##0.00_-;_-* &quot;-&quot;??_-;_-@_-"/>
    </dxf>
    <dxf>
      <numFmt numFmtId="2" formatCode="0.00"/>
    </dxf>
    <dxf>
      <numFmt numFmtId="2" formatCode="0.00"/>
    </dxf>
    <dxf>
      <numFmt numFmtId="2" formatCode="0.00"/>
    </dxf>
    <dxf>
      <alignment horizontal="center"/>
    </dxf>
    <dxf>
      <alignment horizontal="center"/>
    </dxf>
    <dxf>
      <numFmt numFmtId="1" formatCode="0"/>
    </dxf>
    <dxf>
      <numFmt numFmtId="35" formatCode="_-* #,##0.00_-;\-* #,##0.00_-;_-* &quot;-&quot;??_-;_-@_-"/>
    </dxf>
    <dxf>
      <alignment horizontal="center"/>
    </dxf>
    <dxf>
      <alignment horizontal="center"/>
    </dxf>
    <dxf>
      <numFmt numFmtId="1" formatCode="0"/>
    </dxf>
    <dxf>
      <numFmt numFmtId="1" formatCode="0"/>
    </dxf>
    <dxf>
      <alignment wrapText="1"/>
    </dxf>
    <dxf>
      <numFmt numFmtId="35" formatCode="_-* #,##0.00_-;\-* #,##0.00_-;_-* &quot;-&quot;??_-;_-@_-"/>
    </dxf>
    <dxf>
      <numFmt numFmtId="2" formatCode="0.00"/>
    </dxf>
    <dxf>
      <numFmt numFmtId="2" formatCode="0.00"/>
    </dxf>
    <dxf>
      <numFmt numFmtId="2" formatCode="0.00"/>
    </dxf>
    <dxf>
      <alignment horizontal="center"/>
    </dxf>
    <dxf>
      <alignment horizontal="center"/>
    </dxf>
    <dxf>
      <numFmt numFmtId="1" formatCode="0"/>
    </dxf>
    <dxf>
      <numFmt numFmtId="35" formatCode="_-* #,##0.00_-;\-* #,##0.00_-;_-* &quot;-&quot;??_-;_-@_-"/>
    </dxf>
    <dxf>
      <alignment horizontal="center"/>
    </dxf>
    <dxf>
      <alignment horizontal="center"/>
    </dxf>
    <dxf>
      <numFmt numFmtId="1" formatCode="0"/>
    </dxf>
    <dxf>
      <numFmt numFmtId="1" formatCode="0"/>
    </dxf>
    <dxf>
      <alignment wrapText="1"/>
    </dxf>
    <dxf>
      <numFmt numFmtId="35" formatCode="_-* #,##0.00_-;\-* #,##0.00_-;_-* &quot;-&quot;??_-;_-@_-"/>
    </dxf>
    <dxf>
      <alignment horizontal="center"/>
    </dxf>
    <dxf>
      <alignment horizontal="center"/>
    </dxf>
    <dxf>
      <numFmt numFmtId="1" formatCode="0"/>
    </dxf>
    <dxf>
      <numFmt numFmtId="35" formatCode="_-* #,##0.00_-;\-* #,##0.00_-;_-* &quot;-&quot;??_-;_-@_-"/>
    </dxf>
    <dxf>
      <alignment horizontal="center"/>
    </dxf>
    <dxf>
      <alignment horizontal="center"/>
    </dxf>
    <dxf>
      <numFmt numFmtId="1" formatCode="0"/>
    </dxf>
    <dxf>
      <numFmt numFmtId="1" formatCode="0"/>
    </dxf>
    <dxf>
      <alignment wrapText="1"/>
    </dxf>
    <dxf>
      <numFmt numFmtId="2" formatCode="0.00"/>
    </dxf>
    <dxf>
      <numFmt numFmtId="2" formatCode="0.00"/>
    </dxf>
    <dxf>
      <numFmt numFmtId="2" formatCode="0.00"/>
    </dxf>
    <dxf>
      <numFmt numFmtId="35" formatCode="_-* #,##0.00_-;\-* #,##0.00_-;_-* &quot;-&quot;??_-;_-@_-"/>
    </dxf>
    <dxf>
      <alignment horizontal="center"/>
    </dxf>
    <dxf>
      <alignment horizontal="center"/>
    </dxf>
    <dxf>
      <numFmt numFmtId="1" formatCode="0"/>
    </dxf>
    <dxf>
      <numFmt numFmtId="35" formatCode="_-* #,##0.00_-;\-* #,##0.00_-;_-* &quot;-&quot;??_-;_-@_-"/>
    </dxf>
    <dxf>
      <alignment horizontal="center"/>
    </dxf>
    <dxf>
      <alignment horizontal="center"/>
    </dxf>
    <dxf>
      <numFmt numFmtId="1" formatCode="0"/>
    </dxf>
    <dxf>
      <numFmt numFmtId="1" formatCode="0"/>
    </dxf>
    <dxf>
      <alignment wrapText="1"/>
    </dxf>
    <dxf>
      <numFmt numFmtId="2" formatCode="0.00"/>
    </dxf>
    <dxf>
      <numFmt numFmtId="2" formatCode="0.00"/>
    </dxf>
    <dxf>
      <numFmt numFmtId="2" formatCode="0.00"/>
    </dxf>
    <dxf>
      <numFmt numFmtId="35" formatCode="_-* #,##0.00_-;\-* #,##0.00_-;_-* &quot;-&quot;??_-;_-@_-"/>
    </dxf>
    <dxf>
      <alignment horizontal="center"/>
    </dxf>
    <dxf>
      <alignment horizontal="center"/>
    </dxf>
    <dxf>
      <numFmt numFmtId="1" formatCode="0"/>
    </dxf>
    <dxf>
      <numFmt numFmtId="35" formatCode="_-* #,##0.00_-;\-* #,##0.00_-;_-* &quot;-&quot;??_-;_-@_-"/>
    </dxf>
    <dxf>
      <alignment horizontal="center"/>
    </dxf>
    <dxf>
      <alignment horizontal="center"/>
    </dxf>
    <dxf>
      <numFmt numFmtId="1" formatCode="0"/>
    </dxf>
    <dxf>
      <numFmt numFmtId="1" formatCode="0"/>
    </dxf>
    <dxf>
      <alignment wrapText="1"/>
    </dxf>
    <dxf>
      <numFmt numFmtId="2" formatCode="0.00"/>
    </dxf>
    <dxf>
      <numFmt numFmtId="2" formatCode="0.00"/>
    </dxf>
    <dxf>
      <numFmt numFmtId="2" formatCode="0.00"/>
    </dxf>
    <dxf>
      <numFmt numFmtId="35" formatCode="_-* #,##0.00_-;\-* #,##0.00_-;_-* &quot;-&quot;??_-;_-@_-"/>
    </dxf>
    <dxf>
      <alignment horizontal="center"/>
    </dxf>
    <dxf>
      <alignment horizontal="center"/>
    </dxf>
    <dxf>
      <numFmt numFmtId="1" formatCode="0"/>
    </dxf>
    <dxf>
      <numFmt numFmtId="35" formatCode="_-* #,##0.00_-;\-* #,##0.00_-;_-* &quot;-&quot;??_-;_-@_-"/>
    </dxf>
    <dxf>
      <alignment horizontal="center"/>
    </dxf>
    <dxf>
      <alignment horizontal="center"/>
    </dxf>
    <dxf>
      <numFmt numFmtId="1" formatCode="0"/>
    </dxf>
    <dxf>
      <numFmt numFmtId="1" formatCode="0"/>
    </dxf>
    <dxf>
      <alignment wrapText="1"/>
    </dxf>
    <dxf>
      <numFmt numFmtId="2" formatCode="0.00"/>
    </dxf>
    <dxf>
      <numFmt numFmtId="2" formatCode="0.00"/>
    </dxf>
    <dxf>
      <numFmt numFmtId="2" formatCode="0.00"/>
    </dxf>
    <dxf>
      <numFmt numFmtId="35" formatCode="_-* #,##0.00_-;\-* #,##0.00_-;_-* &quot;-&quot;??_-;_-@_-"/>
    </dxf>
    <dxf>
      <numFmt numFmtId="2" formatCode="0.00"/>
    </dxf>
    <dxf>
      <numFmt numFmtId="2" formatCode="0.00"/>
    </dxf>
    <dxf>
      <numFmt numFmtId="2" formatCode="0.00"/>
    </dxf>
    <dxf>
      <numFmt numFmtId="35" formatCode="_-* #,##0.00_-;\-* #,##0.00_-;_-* &quot;-&quot;??_-;_-@_-"/>
    </dxf>
    <dxf>
      <alignment horizontal="center"/>
    </dxf>
    <dxf>
      <alignment horizontal="center"/>
    </dxf>
    <dxf>
      <numFmt numFmtId="1" formatCode="0"/>
    </dxf>
    <dxf>
      <numFmt numFmtId="35" formatCode="_-* #,##0.00_-;\-* #,##0.00_-;_-* &quot;-&quot;??_-;_-@_-"/>
    </dxf>
    <dxf>
      <alignment horizontal="center"/>
    </dxf>
    <dxf>
      <alignment horizontal="center"/>
    </dxf>
    <dxf>
      <numFmt numFmtId="1" formatCode="0"/>
    </dxf>
    <dxf>
      <numFmt numFmtId="1" formatCode="0"/>
    </dxf>
    <dxf>
      <alignment wrapText="1"/>
    </dxf>
    <dxf>
      <font>
        <color rgb="FF9C0006"/>
      </font>
      <fill>
        <patternFill>
          <bgColor rgb="FFFFC7CE"/>
        </patternFill>
      </fill>
    </dxf>
    <dxf>
      <numFmt numFmtId="1" formatCode="0"/>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chartUserShapes" Target="../drawings/drawing8.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chartUserShapes" Target="../drawings/drawing10.xml"/><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3" Type="http://schemas.openxmlformats.org/officeDocument/2006/relationships/chartUserShapes" Target="../drawings/drawing12.xml"/><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chartUserShapes" Target="../drawings/drawing13.xml"/><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3" Type="http://schemas.openxmlformats.org/officeDocument/2006/relationships/chartUserShapes" Target="../drawings/drawing14.xml"/><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3" Type="http://schemas.openxmlformats.org/officeDocument/2006/relationships/chartUserShapes" Target="../drawings/drawing15.xml"/><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3" Type="http://schemas.openxmlformats.org/officeDocument/2006/relationships/chartUserShapes" Target="../drawings/drawing16.xml"/><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[Airline Performance Dashboard.xlsx]Region!PivotTable1</c:name>
    <c:fmtId val="2"/>
  </c:pivotSource>
  <c:chart>
    <c:autoTitleDeleted val="1"/>
    <c:pivotFmts>
      <c:pivotFmt>
        <c:idx val="0"/>
        <c:spPr>
          <a:solidFill>
            <a:schemeClr val="accent1"/>
          </a:solidFill>
          <a:ln w="25400">
            <a:solidFill>
              <a:schemeClr val="lt1"/>
            </a:solidFill>
          </a:ln>
          <a:effectLst/>
          <a:sp3d contourW="25400">
            <a:contourClr>
              <a:schemeClr val="lt1"/>
            </a:contourClr>
          </a:sp3d>
        </c:spPr>
        <c:marker>
          <c:symbol val="none"/>
        </c:marker>
        <c:dLbl>
          <c:idx val="0"/>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0" spcFirstLastPara="1" vertOverflow="ellipsis" vert="horz" wrap="square" anchor="ctr" anchorCtr="1"/>
            <a:lstStyle/>
            <a:p>
              <a:pPr>
                <a:defRPr sz="900" b="0" i="0" u="none" strike="noStrike" kern="1200" baseline="0">
                  <a:ln>
                    <a:noFill/>
                  </a:ln>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dLbl>
          <c:idx val="0"/>
          <c:layout>
            <c:manualLayout>
              <c:x val="3.5983668237265322E-2"/>
              <c:y val="-1.43729948365181E-2"/>
            </c:manualLayout>
          </c:layou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0" spcFirstLastPara="1" vertOverflow="ellipsis" vert="horz" wrap="square" anchor="ctr" anchorCtr="1"/>
            <a:lstStyle/>
            <a:p>
              <a:pPr>
                <a:defRPr sz="900" b="0" i="0" u="none" strike="noStrike" kern="1200" baseline="0">
                  <a:ln>
                    <a:noFill/>
                  </a:ln>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dLbl>
          <c:idx val="0"/>
          <c:layout>
            <c:manualLayout>
              <c:x val="3.973275900251945E-4"/>
              <c:y val="0.11066122151966527"/>
            </c:manualLayout>
          </c:layou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0" spcFirstLastPara="1" vertOverflow="ellipsis" vert="horz" wrap="square" anchor="ctr" anchorCtr="1"/>
            <a:lstStyle/>
            <a:p>
              <a:pPr>
                <a:defRPr sz="900" b="0" i="0" u="none" strike="noStrike" kern="1200" baseline="0">
                  <a:ln>
                    <a:noFill/>
                  </a:ln>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5400">
            <a:solidFill>
              <a:schemeClr val="lt1"/>
            </a:solidFill>
          </a:ln>
          <a:effectLst/>
          <a:sp3d contourW="25400">
            <a:contourClr>
              <a:schemeClr val="lt1"/>
            </a:contourClr>
          </a:sp3d>
        </c:spPr>
        <c:dLbl>
          <c:idx val="0"/>
          <c:layout>
            <c:manualLayout>
              <c:x val="0.12022481517457426"/>
              <c:y val="6.7878024853400984E-2"/>
            </c:manualLayout>
          </c:layou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0" spcFirstLastPara="1" vertOverflow="ellipsis" vert="horz" wrap="square" anchor="ctr" anchorCtr="1"/>
            <a:lstStyle/>
            <a:p>
              <a:pPr>
                <a:defRPr sz="900" b="0" i="0" u="none" strike="noStrike" kern="1200" baseline="0">
                  <a:ln>
                    <a:noFill/>
                  </a:ln>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5400">
            <a:solidFill>
              <a:schemeClr val="lt1"/>
            </a:solidFill>
          </a:ln>
          <a:effectLst/>
          <a:sp3d contourW="25400">
            <a:contourClr>
              <a:schemeClr val="lt1"/>
            </a:contourClr>
          </a:sp3d>
        </c:spPr>
        <c:dLbl>
          <c:idx val="0"/>
          <c:layout>
            <c:manualLayout>
              <c:x val="1.9559886564453403E-2"/>
              <c:y val="-0.15650986366163466"/>
            </c:manualLayout>
          </c:layou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0" spcFirstLastPara="1" vertOverflow="ellipsis" vert="horz" wrap="square" anchor="ctr" anchorCtr="1"/>
            <a:lstStyle/>
            <a:p>
              <a:pPr>
                <a:defRPr sz="900" b="0" i="0" u="none" strike="noStrike" kern="1200" baseline="0">
                  <a:ln>
                    <a:noFill/>
                  </a:ln>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5400">
            <a:solidFill>
              <a:schemeClr val="lt1"/>
            </a:solidFill>
          </a:ln>
          <a:effectLst/>
          <a:sp3d contourW="25400">
            <a:contourClr>
              <a:schemeClr val="lt1"/>
            </a:contourClr>
          </a:sp3d>
        </c:spPr>
        <c:dLbl>
          <c:idx val="0"/>
          <c:layout>
            <c:manualLayout>
              <c:x val="-3.8286154975050668E-2"/>
              <c:y val="8.7551367039065298E-2"/>
            </c:manualLayout>
          </c:layou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0" spcFirstLastPara="1" vertOverflow="ellipsis" vert="horz" wrap="square" anchor="ctr" anchorCtr="1"/>
            <a:lstStyle/>
            <a:p>
              <a:pPr>
                <a:defRPr sz="900" b="0" i="0" u="none" strike="noStrike" kern="1200" baseline="0">
                  <a:ln>
                    <a:noFill/>
                  </a:ln>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Region!$B$3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2-3E4F-41FF-B2A3-CA37B465785D}"/>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3E4F-41FF-B2A3-CA37B465785D}"/>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4-3E4F-41FF-B2A3-CA37B465785D}"/>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6-3E4F-41FF-B2A3-CA37B465785D}"/>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5-3E4F-41FF-B2A3-CA37B465785D}"/>
              </c:ext>
            </c:extLst>
          </c:dPt>
          <c:dLbls>
            <c:dLbl>
              <c:idx val="0"/>
              <c:layout>
                <c:manualLayout>
                  <c:x val="3.5983668237265322E-2"/>
                  <c:y val="-1.43729948365181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E4F-41FF-B2A3-CA37B465785D}"/>
                </c:ext>
              </c:extLst>
            </c:dLbl>
            <c:dLbl>
              <c:idx val="1"/>
              <c:layout>
                <c:manualLayout>
                  <c:x val="3.973275900251945E-4"/>
                  <c:y val="0.11066122151966527"/>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E4F-41FF-B2A3-CA37B465785D}"/>
                </c:ext>
              </c:extLst>
            </c:dLbl>
            <c:dLbl>
              <c:idx val="2"/>
              <c:layout>
                <c:manualLayout>
                  <c:x val="0.12022481517457426"/>
                  <c:y val="6.7878024853400984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3E4F-41FF-B2A3-CA37B465785D}"/>
                </c:ext>
              </c:extLst>
            </c:dLbl>
            <c:dLbl>
              <c:idx val="3"/>
              <c:layout>
                <c:manualLayout>
                  <c:x val="-3.8286154975050668E-2"/>
                  <c:y val="8.7551367039065298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3E4F-41FF-B2A3-CA37B465785D}"/>
                </c:ext>
              </c:extLst>
            </c:dLbl>
            <c:dLbl>
              <c:idx val="4"/>
              <c:layout>
                <c:manualLayout>
                  <c:x val="1.9559886564453403E-2"/>
                  <c:y val="-0.15650986366163466"/>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E4F-41FF-B2A3-CA37B465785D}"/>
                </c:ext>
              </c:extLst>
            </c:dLbl>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0" spcFirstLastPara="1" vertOverflow="ellipsis" vert="horz" wrap="square" anchor="ctr" anchorCtr="1"/>
              <a:lstStyle/>
              <a:p>
                <a:pPr>
                  <a:defRPr sz="900" b="0" i="0" u="none" strike="noStrike" kern="1200" baseline="0">
                    <a:ln>
                      <a:noFill/>
                    </a:ln>
                    <a:solidFill>
                      <a:schemeClr val="tx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Region!$A$4:$A$9</c:f>
              <c:strCache>
                <c:ptCount val="5"/>
                <c:pt idx="0">
                  <c:v>Asia</c:v>
                </c:pt>
                <c:pt idx="1">
                  <c:v>Europe</c:v>
                </c:pt>
                <c:pt idx="2">
                  <c:v>Latin America</c:v>
                </c:pt>
                <c:pt idx="3">
                  <c:v>Middle East</c:v>
                </c:pt>
                <c:pt idx="4">
                  <c:v>North America</c:v>
                </c:pt>
              </c:strCache>
            </c:strRef>
          </c:cat>
          <c:val>
            <c:numRef>
              <c:f>Region!$B$4:$B$9</c:f>
              <c:numCache>
                <c:formatCode>_(* #,##0.00_);_(* \(#,##0.00\);_(* "-"??_);_(@_)</c:formatCode>
                <c:ptCount val="5"/>
                <c:pt idx="0">
                  <c:v>715.42</c:v>
                </c:pt>
                <c:pt idx="1">
                  <c:v>801.0200000000001</c:v>
                </c:pt>
                <c:pt idx="2">
                  <c:v>80.929999999999993</c:v>
                </c:pt>
                <c:pt idx="3">
                  <c:v>347.39</c:v>
                </c:pt>
                <c:pt idx="4">
                  <c:v>1091.8799999999999</c:v>
                </c:pt>
              </c:numCache>
            </c:numRef>
          </c:val>
          <c:extLst>
            <c:ext xmlns:c16="http://schemas.microsoft.com/office/drawing/2014/chart" uri="{C3380CC4-5D6E-409C-BE32-E72D297353CC}">
              <c16:uniqueId val="{00000000-3E4F-41FF-B2A3-CA37B465785D}"/>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ln>
                <a:noFill/>
              </a:ln>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ln>
            <a:noFill/>
          </a:ln>
          <a:solidFill>
            <a:schemeClr val="tx1"/>
          </a:solidFill>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8344347099998036E-2"/>
          <c:y val="0.10446737656571184"/>
          <c:w val="0.81905240291467973"/>
          <c:h val="0.6262353819271872"/>
        </c:manualLayout>
      </c:layout>
      <c:barChart>
        <c:barDir val="col"/>
        <c:grouping val="clustered"/>
        <c:varyColors val="0"/>
        <c:ser>
          <c:idx val="0"/>
          <c:order val="0"/>
          <c:tx>
            <c:strRef>
              <c:f>'Airline Revenue'!$E$1</c:f>
              <c:strCache>
                <c:ptCount val="1"/>
                <c:pt idx="0">
                  <c:v>Revenue</c:v>
                </c:pt>
              </c:strCache>
            </c:strRef>
          </c:tx>
          <c:spPr>
            <a:solidFill>
              <a:schemeClr val="accent1"/>
            </a:solidFill>
            <a:ln>
              <a:noFill/>
            </a:ln>
            <a:effectLst/>
          </c:spPr>
          <c:invertIfNegative val="0"/>
          <c:cat>
            <c:strRef>
              <c:f>'Airline Revenue'!$D$2:$D$6</c:f>
              <c:strCache>
                <c:ptCount val="5"/>
                <c:pt idx="0">
                  <c:v>Delta Air Lines</c:v>
                </c:pt>
                <c:pt idx="1">
                  <c:v>United Airlines</c:v>
                </c:pt>
                <c:pt idx="2">
                  <c:v>American Airlines</c:v>
                </c:pt>
                <c:pt idx="3">
                  <c:v>Lufthansa Group</c:v>
                </c:pt>
                <c:pt idx="4">
                  <c:v>Air France-KLM</c:v>
                </c:pt>
              </c:strCache>
            </c:strRef>
          </c:cat>
          <c:val>
            <c:numRef>
              <c:f>'Airline Revenue'!$E$2:$E$6</c:f>
              <c:numCache>
                <c:formatCode>General</c:formatCode>
                <c:ptCount val="5"/>
                <c:pt idx="0">
                  <c:v>303.05</c:v>
                </c:pt>
                <c:pt idx="1">
                  <c:v>277.23</c:v>
                </c:pt>
                <c:pt idx="2">
                  <c:v>269.64999999999998</c:v>
                </c:pt>
                <c:pt idx="3">
                  <c:v>199.69</c:v>
                </c:pt>
                <c:pt idx="4">
                  <c:v>171.08999999999997</c:v>
                </c:pt>
              </c:numCache>
            </c:numRef>
          </c:val>
          <c:extLst>
            <c:ext xmlns:c16="http://schemas.microsoft.com/office/drawing/2014/chart" uri="{C3380CC4-5D6E-409C-BE32-E72D297353CC}">
              <c16:uniqueId val="{00000000-38F0-452E-91CC-2B733BA388B9}"/>
            </c:ext>
          </c:extLst>
        </c:ser>
        <c:dLbls>
          <c:showLegendKey val="0"/>
          <c:showVal val="0"/>
          <c:showCatName val="0"/>
          <c:showSerName val="0"/>
          <c:showPercent val="0"/>
          <c:showBubbleSize val="0"/>
        </c:dLbls>
        <c:gapWidth val="219"/>
        <c:overlap val="-27"/>
        <c:axId val="874915424"/>
        <c:axId val="874917536"/>
      </c:barChart>
      <c:lineChart>
        <c:grouping val="standard"/>
        <c:varyColors val="0"/>
        <c:ser>
          <c:idx val="1"/>
          <c:order val="1"/>
          <c:tx>
            <c:strRef>
              <c:f>'Airline Revenue'!$F$1</c:f>
              <c:strCache>
                <c:ptCount val="1"/>
                <c:pt idx="0">
                  <c:v>Op. Revenue</c:v>
                </c:pt>
              </c:strCache>
            </c:strRef>
          </c:tx>
          <c:spPr>
            <a:ln w="28575" cap="rnd">
              <a:solidFill>
                <a:schemeClr val="accent2"/>
              </a:solidFill>
              <a:round/>
            </a:ln>
            <a:effectLst/>
          </c:spPr>
          <c:marker>
            <c:symbol val="none"/>
          </c:marker>
          <c:cat>
            <c:strRef>
              <c:f>'Airline Revenue'!$D$2:$D$6</c:f>
              <c:strCache>
                <c:ptCount val="5"/>
                <c:pt idx="0">
                  <c:v>Delta Air Lines</c:v>
                </c:pt>
                <c:pt idx="1">
                  <c:v>United Airlines</c:v>
                </c:pt>
                <c:pt idx="2">
                  <c:v>American Airlines</c:v>
                </c:pt>
                <c:pt idx="3">
                  <c:v>Lufthansa Group</c:v>
                </c:pt>
                <c:pt idx="4">
                  <c:v>Air France-KLM</c:v>
                </c:pt>
              </c:strCache>
            </c:strRef>
          </c:cat>
          <c:val>
            <c:numRef>
              <c:f>'Airline Revenue'!$F$2:$F$6</c:f>
              <c:numCache>
                <c:formatCode>General</c:formatCode>
                <c:ptCount val="5"/>
                <c:pt idx="0">
                  <c:v>21.77</c:v>
                </c:pt>
                <c:pt idx="1">
                  <c:v>14.19</c:v>
                </c:pt>
                <c:pt idx="2">
                  <c:v>17.8</c:v>
                </c:pt>
                <c:pt idx="3">
                  <c:v>13.85</c:v>
                </c:pt>
                <c:pt idx="4">
                  <c:v>10.64</c:v>
                </c:pt>
              </c:numCache>
            </c:numRef>
          </c:val>
          <c:smooth val="0"/>
          <c:extLst>
            <c:ext xmlns:c16="http://schemas.microsoft.com/office/drawing/2014/chart" uri="{C3380CC4-5D6E-409C-BE32-E72D297353CC}">
              <c16:uniqueId val="{00000001-38F0-452E-91CC-2B733BA388B9}"/>
            </c:ext>
          </c:extLst>
        </c:ser>
        <c:dLbls>
          <c:showLegendKey val="0"/>
          <c:showVal val="0"/>
          <c:showCatName val="0"/>
          <c:showSerName val="0"/>
          <c:showPercent val="0"/>
          <c:showBubbleSize val="0"/>
        </c:dLbls>
        <c:marker val="1"/>
        <c:smooth val="0"/>
        <c:axId val="874919296"/>
        <c:axId val="874918944"/>
      </c:lineChart>
      <c:catAx>
        <c:axId val="8749154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4917536"/>
        <c:crosses val="autoZero"/>
        <c:auto val="1"/>
        <c:lblAlgn val="ctr"/>
        <c:lblOffset val="100"/>
        <c:noMultiLvlLbl val="0"/>
      </c:catAx>
      <c:valAx>
        <c:axId val="87491753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4915424"/>
        <c:crosses val="autoZero"/>
        <c:crossBetween val="between"/>
      </c:valAx>
      <c:valAx>
        <c:axId val="874918944"/>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4919296"/>
        <c:crosses val="max"/>
        <c:crossBetween val="between"/>
      </c:valAx>
      <c:catAx>
        <c:axId val="874919296"/>
        <c:scaling>
          <c:orientation val="minMax"/>
        </c:scaling>
        <c:delete val="1"/>
        <c:axPos val="b"/>
        <c:numFmt formatCode="General" sourceLinked="1"/>
        <c:majorTickMark val="out"/>
        <c:minorTickMark val="none"/>
        <c:tickLblPos val="nextTo"/>
        <c:crossAx val="874918944"/>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[Airline Performance Dashboard.xlsx]Passenger!PivotTable16</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327602799650043"/>
          <c:y val="0.15555560999321436"/>
          <c:w val="0.64919138232720908"/>
          <c:h val="0.7639187275306133"/>
        </c:manualLayout>
      </c:layout>
      <c:barChart>
        <c:barDir val="bar"/>
        <c:grouping val="clustered"/>
        <c:varyColors val="0"/>
        <c:ser>
          <c:idx val="0"/>
          <c:order val="0"/>
          <c:tx>
            <c:strRef>
              <c:f>Passenger!$B$2</c:f>
              <c:strCache>
                <c:ptCount val="1"/>
                <c:pt idx="0">
                  <c:v>Total</c:v>
                </c:pt>
              </c:strCache>
            </c:strRef>
          </c:tx>
          <c:spPr>
            <a:solidFill>
              <a:schemeClr val="accent1"/>
            </a:solidFill>
            <a:ln>
              <a:noFill/>
            </a:ln>
            <a:effectLst/>
          </c:spPr>
          <c:invertIfNegative val="0"/>
          <c:cat>
            <c:strRef>
              <c:f>Passenger!$A$3:$A$8</c:f>
              <c:strCache>
                <c:ptCount val="5"/>
                <c:pt idx="0">
                  <c:v>Latin America</c:v>
                </c:pt>
                <c:pt idx="1">
                  <c:v>Middle East</c:v>
                </c:pt>
                <c:pt idx="2">
                  <c:v>Asia</c:v>
                </c:pt>
                <c:pt idx="3">
                  <c:v>Europe</c:v>
                </c:pt>
                <c:pt idx="4">
                  <c:v>North America</c:v>
                </c:pt>
              </c:strCache>
            </c:strRef>
          </c:cat>
          <c:val>
            <c:numRef>
              <c:f>Passenger!$B$3:$B$8</c:f>
              <c:numCache>
                <c:formatCode>General</c:formatCode>
                <c:ptCount val="5"/>
                <c:pt idx="0">
                  <c:v>172.8</c:v>
                </c:pt>
                <c:pt idx="1">
                  <c:v>521</c:v>
                </c:pt>
                <c:pt idx="2">
                  <c:v>1223.9999999999998</c:v>
                </c:pt>
                <c:pt idx="3">
                  <c:v>1510.4999999999998</c:v>
                </c:pt>
                <c:pt idx="4">
                  <c:v>2188</c:v>
                </c:pt>
              </c:numCache>
            </c:numRef>
          </c:val>
          <c:extLst>
            <c:ext xmlns:c16="http://schemas.microsoft.com/office/drawing/2014/chart" uri="{C3380CC4-5D6E-409C-BE32-E72D297353CC}">
              <c16:uniqueId val="{00000000-D650-4596-B7F8-5B930245000F}"/>
            </c:ext>
          </c:extLst>
        </c:ser>
        <c:dLbls>
          <c:showLegendKey val="0"/>
          <c:showVal val="0"/>
          <c:showCatName val="0"/>
          <c:showSerName val="0"/>
          <c:showPercent val="0"/>
          <c:showBubbleSize val="0"/>
        </c:dLbls>
        <c:gapWidth val="182"/>
        <c:axId val="691067072"/>
        <c:axId val="691067424"/>
      </c:barChart>
      <c:catAx>
        <c:axId val="6910670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691067424"/>
        <c:crosses val="autoZero"/>
        <c:auto val="1"/>
        <c:lblAlgn val="ctr"/>
        <c:lblOffset val="100"/>
        <c:noMultiLvlLbl val="0"/>
      </c:catAx>
      <c:valAx>
        <c:axId val="69106742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6910670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[Airline Performance Dashboard.xlsx]Bus Model!PivotTable4</c:name>
    <c:fmtId val="13"/>
  </c:pivotSource>
  <c:chart>
    <c:autoTitleDeleted val="1"/>
    <c:pivotFmts>
      <c:pivotFmt>
        <c:idx val="0"/>
        <c:spPr>
          <a:solidFill>
            <a:schemeClr val="accent1"/>
          </a:solidFill>
          <a:ln w="19050">
            <a:solidFill>
              <a:schemeClr val="lt1"/>
            </a:solid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11388888888888879"/>
              <c:y val="0.15740740740740725"/>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0.2055555555555556"/>
              <c:y val="-6.4814814814814811E-2"/>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layout>
            <c:manualLayout>
              <c:x val="-0.11944444444444446"/>
              <c:y val="3.2407407407407406E-2"/>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280993000874893"/>
          <c:y val="0.25040131524541914"/>
          <c:w val="0.46388888888888891"/>
          <c:h val="0.77314814814814814"/>
        </c:manualLayout>
      </c:layout>
      <c:doughnutChart>
        <c:varyColors val="1"/>
        <c:ser>
          <c:idx val="0"/>
          <c:order val="0"/>
          <c:tx>
            <c:strRef>
              <c:f>'Bus Model'!$B$1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2-EAF2-4544-9138-ACE71BA3E86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4-EAF2-4544-9138-ACE71BA3E86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3-EAF2-4544-9138-ACE71BA3E86D}"/>
              </c:ext>
            </c:extLst>
          </c:dPt>
          <c:dLbls>
            <c:dLbl>
              <c:idx val="0"/>
              <c:layout>
                <c:manualLayout>
                  <c:x val="0.11388888888888879"/>
                  <c:y val="0.1574074074074072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AF2-4544-9138-ACE71BA3E86D}"/>
                </c:ext>
              </c:extLst>
            </c:dLbl>
            <c:dLbl>
              <c:idx val="1"/>
              <c:layout>
                <c:manualLayout>
                  <c:x val="-0.11944444444444446"/>
                  <c:y val="3.240740740740740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EAF2-4544-9138-ACE71BA3E86D}"/>
                </c:ext>
              </c:extLst>
            </c:dLbl>
            <c:dLbl>
              <c:idx val="2"/>
              <c:layout>
                <c:manualLayout>
                  <c:x val="-0.2055555555555556"/>
                  <c:y val="-6.481481481481481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AF2-4544-9138-ACE71BA3E86D}"/>
                </c:ext>
              </c:extLst>
            </c:dLbl>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'Bus Model'!$A$2:$A$5</c:f>
              <c:strCache>
                <c:ptCount val="3"/>
                <c:pt idx="0">
                  <c:v>legacy</c:v>
                </c:pt>
                <c:pt idx="1">
                  <c:v>low_cost</c:v>
                </c:pt>
                <c:pt idx="2">
                  <c:v>regional</c:v>
                </c:pt>
              </c:strCache>
            </c:strRef>
          </c:cat>
          <c:val>
            <c:numRef>
              <c:f>'Bus Model'!$B$2:$B$5</c:f>
              <c:numCache>
                <c:formatCode>_(* #,##0.00_);_(* \(#,##0.00\);_(* "-"??_);_(@_)</c:formatCode>
                <c:ptCount val="3"/>
                <c:pt idx="0">
                  <c:v>3885.1000000000008</c:v>
                </c:pt>
                <c:pt idx="1">
                  <c:v>1566.8999999999992</c:v>
                </c:pt>
                <c:pt idx="2">
                  <c:v>164.29999999999998</c:v>
                </c:pt>
              </c:numCache>
            </c:numRef>
          </c:val>
          <c:extLst>
            <c:ext xmlns:c16="http://schemas.microsoft.com/office/drawing/2014/chart" uri="{C3380CC4-5D6E-409C-BE32-E72D297353CC}">
              <c16:uniqueId val="{00000000-EAF2-4544-9138-ACE71BA3E86D}"/>
            </c:ext>
          </c:extLst>
        </c:ser>
        <c:dLbls>
          <c:showLegendKey val="0"/>
          <c:showVal val="0"/>
          <c:showCatName val="0"/>
          <c:showSerName val="0"/>
          <c:showPercent val="0"/>
          <c:showBubbleSize val="0"/>
          <c:showLeaderLines val="1"/>
        </c:dLbls>
        <c:firstSliceAng val="0"/>
        <c:holeSize val="5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cked"/>
        <c:varyColors val="0"/>
        <c:ser>
          <c:idx val="0"/>
          <c:order val="0"/>
          <c:tx>
            <c:strRef>
              <c:f>'5 Year Trend'!$O$5</c:f>
              <c:strCache>
                <c:ptCount val="1"/>
                <c:pt idx="0">
                  <c:v>303.05</c:v>
                </c:pt>
              </c:strCache>
            </c:strRef>
          </c:tx>
          <c:spPr>
            <a:ln w="28575" cap="rnd">
              <a:solidFill>
                <a:schemeClr val="accent1"/>
              </a:solidFill>
              <a:round/>
            </a:ln>
            <a:effectLst/>
          </c:spPr>
          <c:marker>
            <c:symbol val="none"/>
          </c:marker>
          <c:cat>
            <c:multiLvlStrRef>
              <c:f>'5 Year Trend'!$P$3:$AA$4</c:f>
            </c:multiLvlStrRef>
          </c:cat>
          <c:val>
            <c:numRef>
              <c:f>'5 Year Trend'!$P$5:$AA$5</c:f>
              <c:numCache>
                <c:formatCode>General</c:formatCode>
                <c:ptCount val="12"/>
              </c:numCache>
            </c:numRef>
          </c:val>
          <c:smooth val="0"/>
          <c:extLst>
            <c:ext xmlns:c16="http://schemas.microsoft.com/office/drawing/2014/chart" uri="{C3380CC4-5D6E-409C-BE32-E72D297353CC}">
              <c16:uniqueId val="{00000000-EA2A-4CB9-BD2D-7332ACCED2BC}"/>
            </c:ext>
          </c:extLst>
        </c:ser>
        <c:ser>
          <c:idx val="1"/>
          <c:order val="1"/>
          <c:tx>
            <c:strRef>
              <c:f>'5 Year Trend'!$O$6</c:f>
              <c:strCache>
                <c:ptCount val="1"/>
                <c:pt idx="0">
                  <c:v>277.23</c:v>
                </c:pt>
              </c:strCache>
            </c:strRef>
          </c:tx>
          <c:spPr>
            <a:ln w="28575" cap="rnd">
              <a:solidFill>
                <a:schemeClr val="accent2"/>
              </a:solidFill>
              <a:round/>
            </a:ln>
            <a:effectLst/>
          </c:spPr>
          <c:marker>
            <c:symbol val="none"/>
          </c:marker>
          <c:cat>
            <c:multiLvlStrRef>
              <c:f>'5 Year Trend'!$P$3:$AA$4</c:f>
            </c:multiLvlStrRef>
          </c:cat>
          <c:val>
            <c:numRef>
              <c:f>'5 Year Trend'!$P$6:$AA$6</c:f>
              <c:numCache>
                <c:formatCode>General</c:formatCode>
                <c:ptCount val="12"/>
              </c:numCache>
            </c:numRef>
          </c:val>
          <c:smooth val="0"/>
          <c:extLst>
            <c:ext xmlns:c16="http://schemas.microsoft.com/office/drawing/2014/chart" uri="{C3380CC4-5D6E-409C-BE32-E72D297353CC}">
              <c16:uniqueId val="{00000001-EA2A-4CB9-BD2D-7332ACCED2BC}"/>
            </c:ext>
          </c:extLst>
        </c:ser>
        <c:ser>
          <c:idx val="2"/>
          <c:order val="2"/>
          <c:tx>
            <c:strRef>
              <c:f>'5 Year Trend'!$O$7</c:f>
              <c:strCache>
                <c:ptCount val="1"/>
                <c:pt idx="0">
                  <c:v>269.65</c:v>
                </c:pt>
              </c:strCache>
            </c:strRef>
          </c:tx>
          <c:spPr>
            <a:ln w="28575" cap="rnd">
              <a:solidFill>
                <a:schemeClr val="accent3"/>
              </a:solidFill>
              <a:round/>
            </a:ln>
            <a:effectLst/>
          </c:spPr>
          <c:marker>
            <c:symbol val="none"/>
          </c:marker>
          <c:cat>
            <c:multiLvlStrRef>
              <c:f>'5 Year Trend'!$P$3:$AA$4</c:f>
            </c:multiLvlStrRef>
          </c:cat>
          <c:val>
            <c:numRef>
              <c:f>'5 Year Trend'!$P$7:$AA$7</c:f>
              <c:numCache>
                <c:formatCode>General</c:formatCode>
                <c:ptCount val="12"/>
              </c:numCache>
            </c:numRef>
          </c:val>
          <c:smooth val="0"/>
          <c:extLst>
            <c:ext xmlns:c16="http://schemas.microsoft.com/office/drawing/2014/chart" uri="{C3380CC4-5D6E-409C-BE32-E72D297353CC}">
              <c16:uniqueId val="{00000002-EA2A-4CB9-BD2D-7332ACCED2BC}"/>
            </c:ext>
          </c:extLst>
        </c:ser>
        <c:ser>
          <c:idx val="3"/>
          <c:order val="3"/>
          <c:tx>
            <c:strRef>
              <c:f>'5 Year Trend'!$O$8</c:f>
              <c:strCache>
                <c:ptCount val="1"/>
                <c:pt idx="0">
                  <c:v>199.69</c:v>
                </c:pt>
              </c:strCache>
            </c:strRef>
          </c:tx>
          <c:spPr>
            <a:ln w="28575" cap="rnd">
              <a:solidFill>
                <a:schemeClr val="accent4"/>
              </a:solidFill>
              <a:round/>
            </a:ln>
            <a:effectLst/>
          </c:spPr>
          <c:marker>
            <c:symbol val="none"/>
          </c:marker>
          <c:cat>
            <c:multiLvlStrRef>
              <c:f>'5 Year Trend'!$P$3:$AA$4</c:f>
            </c:multiLvlStrRef>
          </c:cat>
          <c:val>
            <c:numRef>
              <c:f>'5 Year Trend'!$P$8:$AA$8</c:f>
              <c:numCache>
                <c:formatCode>General</c:formatCode>
                <c:ptCount val="12"/>
              </c:numCache>
            </c:numRef>
          </c:val>
          <c:smooth val="0"/>
          <c:extLst>
            <c:ext xmlns:c16="http://schemas.microsoft.com/office/drawing/2014/chart" uri="{C3380CC4-5D6E-409C-BE32-E72D297353CC}">
              <c16:uniqueId val="{00000003-EA2A-4CB9-BD2D-7332ACCED2BC}"/>
            </c:ext>
          </c:extLst>
        </c:ser>
        <c:ser>
          <c:idx val="4"/>
          <c:order val="4"/>
          <c:tx>
            <c:strRef>
              <c:f>'5 Year Trend'!$O$9</c:f>
              <c:strCache>
                <c:ptCount val="1"/>
                <c:pt idx="0">
                  <c:v>171.09</c:v>
                </c:pt>
              </c:strCache>
            </c:strRef>
          </c:tx>
          <c:spPr>
            <a:ln w="28575" cap="rnd">
              <a:solidFill>
                <a:schemeClr val="accent5"/>
              </a:solidFill>
              <a:round/>
            </a:ln>
            <a:effectLst/>
          </c:spPr>
          <c:marker>
            <c:symbol val="none"/>
          </c:marker>
          <c:cat>
            <c:multiLvlStrRef>
              <c:f>'5 Year Trend'!$P$3:$AA$4</c:f>
            </c:multiLvlStrRef>
          </c:cat>
          <c:val>
            <c:numRef>
              <c:f>'5 Year Trend'!$P$9:$AA$9</c:f>
              <c:numCache>
                <c:formatCode>General</c:formatCode>
                <c:ptCount val="12"/>
              </c:numCache>
            </c:numRef>
          </c:val>
          <c:smooth val="0"/>
          <c:extLst>
            <c:ext xmlns:c16="http://schemas.microsoft.com/office/drawing/2014/chart" uri="{C3380CC4-5D6E-409C-BE32-E72D297353CC}">
              <c16:uniqueId val="{00000004-EA2A-4CB9-BD2D-7332ACCED2BC}"/>
            </c:ext>
          </c:extLst>
        </c:ser>
        <c:ser>
          <c:idx val="5"/>
          <c:order val="5"/>
          <c:tx>
            <c:strRef>
              <c:f>'5 Year Trend'!$O$10</c:f>
              <c:strCache>
                <c:ptCount val="1"/>
              </c:strCache>
            </c:strRef>
          </c:tx>
          <c:spPr>
            <a:ln w="28575" cap="rnd">
              <a:solidFill>
                <a:schemeClr val="accent6"/>
              </a:solidFill>
              <a:round/>
            </a:ln>
            <a:effectLst/>
          </c:spPr>
          <c:marker>
            <c:symbol val="none"/>
          </c:marker>
          <c:cat>
            <c:multiLvlStrRef>
              <c:f>'5 Year Trend'!$P$3:$AA$4</c:f>
            </c:multiLvlStrRef>
          </c:cat>
          <c:val>
            <c:numRef>
              <c:f>'5 Year Trend'!$P$10:$AA$10</c:f>
              <c:numCache>
                <c:formatCode>General</c:formatCode>
                <c:ptCount val="12"/>
              </c:numCache>
            </c:numRef>
          </c:val>
          <c:smooth val="0"/>
          <c:extLst>
            <c:ext xmlns:c16="http://schemas.microsoft.com/office/drawing/2014/chart" uri="{C3380CC4-5D6E-409C-BE32-E72D297353CC}">
              <c16:uniqueId val="{00000005-EA2A-4CB9-BD2D-7332ACCED2BC}"/>
            </c:ext>
          </c:extLst>
        </c:ser>
        <c:dLbls>
          <c:showLegendKey val="0"/>
          <c:showVal val="0"/>
          <c:showCatName val="0"/>
          <c:showSerName val="0"/>
          <c:showPercent val="0"/>
          <c:showBubbleSize val="0"/>
        </c:dLbls>
        <c:smooth val="0"/>
        <c:axId val="2051514496"/>
        <c:axId val="2051514848"/>
      </c:lineChart>
      <c:catAx>
        <c:axId val="20515144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1514848"/>
        <c:crosses val="autoZero"/>
        <c:auto val="1"/>
        <c:lblAlgn val="ctr"/>
        <c:lblOffset val="100"/>
        <c:noMultiLvlLbl val="0"/>
      </c:catAx>
      <c:valAx>
        <c:axId val="20515148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151449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cked"/>
        <c:varyColors val="0"/>
        <c:ser>
          <c:idx val="0"/>
          <c:order val="0"/>
          <c:tx>
            <c:strRef>
              <c:f>'5 Year Trend'!$I$5</c:f>
              <c:strCache>
                <c:ptCount val="1"/>
                <c:pt idx="0">
                  <c:v>Delta Air Lines</c:v>
                </c:pt>
              </c:strCache>
            </c:strRef>
          </c:tx>
          <c:spPr>
            <a:ln w="28575" cap="rnd">
              <a:solidFill>
                <a:schemeClr val="accent1"/>
              </a:solidFill>
              <a:round/>
            </a:ln>
            <a:effectLst/>
          </c:spPr>
          <c:marker>
            <c:symbol val="none"/>
          </c:marker>
          <c:cat>
            <c:strRef>
              <c:f>'5 Year Trend'!$J$4:$N$4</c:f>
              <c:strCache>
                <c:ptCount val="5"/>
                <c:pt idx="0">
                  <c:v>Yr 2022</c:v>
                </c:pt>
                <c:pt idx="1">
                  <c:v>Yr 2023</c:v>
                </c:pt>
                <c:pt idx="2">
                  <c:v>Yr 2024</c:v>
                </c:pt>
                <c:pt idx="3">
                  <c:v>Yr 2025</c:v>
                </c:pt>
                <c:pt idx="4">
                  <c:v>Yr 2026</c:v>
                </c:pt>
              </c:strCache>
            </c:strRef>
          </c:cat>
          <c:val>
            <c:numRef>
              <c:f>'5 Year Trend'!$J$5:$N$5</c:f>
              <c:numCache>
                <c:formatCode>General</c:formatCode>
                <c:ptCount val="5"/>
                <c:pt idx="0">
                  <c:v>50.43</c:v>
                </c:pt>
                <c:pt idx="1">
                  <c:v>59.14</c:v>
                </c:pt>
                <c:pt idx="2">
                  <c:v>60.38</c:v>
                </c:pt>
                <c:pt idx="3">
                  <c:v>64.72</c:v>
                </c:pt>
                <c:pt idx="4">
                  <c:v>68.38</c:v>
                </c:pt>
              </c:numCache>
            </c:numRef>
          </c:val>
          <c:smooth val="0"/>
          <c:extLst>
            <c:ext xmlns:c16="http://schemas.microsoft.com/office/drawing/2014/chart" uri="{C3380CC4-5D6E-409C-BE32-E72D297353CC}">
              <c16:uniqueId val="{00000000-C602-483E-BF93-553BE263BADA}"/>
            </c:ext>
          </c:extLst>
        </c:ser>
        <c:ser>
          <c:idx val="1"/>
          <c:order val="1"/>
          <c:tx>
            <c:strRef>
              <c:f>'5 Year Trend'!$I$6</c:f>
              <c:strCache>
                <c:ptCount val="1"/>
                <c:pt idx="0">
                  <c:v>United Airlines</c:v>
                </c:pt>
              </c:strCache>
            </c:strRef>
          </c:tx>
          <c:spPr>
            <a:ln w="28575" cap="rnd">
              <a:solidFill>
                <a:schemeClr val="accent2"/>
              </a:solidFill>
              <a:round/>
            </a:ln>
            <a:effectLst/>
          </c:spPr>
          <c:marker>
            <c:symbol val="none"/>
          </c:marker>
          <c:cat>
            <c:strRef>
              <c:f>'5 Year Trend'!$J$4:$N$4</c:f>
              <c:strCache>
                <c:ptCount val="5"/>
                <c:pt idx="0">
                  <c:v>Yr 2022</c:v>
                </c:pt>
                <c:pt idx="1">
                  <c:v>Yr 2023</c:v>
                </c:pt>
                <c:pt idx="2">
                  <c:v>Yr 2024</c:v>
                </c:pt>
                <c:pt idx="3">
                  <c:v>Yr 2025</c:v>
                </c:pt>
                <c:pt idx="4">
                  <c:v>Yr 2026</c:v>
                </c:pt>
              </c:strCache>
            </c:strRef>
          </c:cat>
          <c:val>
            <c:numRef>
              <c:f>'5 Year Trend'!$J$6:$N$6</c:f>
              <c:numCache>
                <c:formatCode>General</c:formatCode>
                <c:ptCount val="5"/>
                <c:pt idx="0">
                  <c:v>45.02</c:v>
                </c:pt>
                <c:pt idx="1">
                  <c:v>54.78</c:v>
                </c:pt>
                <c:pt idx="2">
                  <c:v>56.96</c:v>
                </c:pt>
                <c:pt idx="3">
                  <c:v>58.19</c:v>
                </c:pt>
                <c:pt idx="4">
                  <c:v>62.28</c:v>
                </c:pt>
              </c:numCache>
            </c:numRef>
          </c:val>
          <c:smooth val="0"/>
          <c:extLst>
            <c:ext xmlns:c16="http://schemas.microsoft.com/office/drawing/2014/chart" uri="{C3380CC4-5D6E-409C-BE32-E72D297353CC}">
              <c16:uniqueId val="{00000001-C602-483E-BF93-553BE263BADA}"/>
            </c:ext>
          </c:extLst>
        </c:ser>
        <c:ser>
          <c:idx val="2"/>
          <c:order val="2"/>
          <c:tx>
            <c:strRef>
              <c:f>'5 Year Trend'!$I$7</c:f>
              <c:strCache>
                <c:ptCount val="1"/>
                <c:pt idx="0">
                  <c:v>American Airlines</c:v>
                </c:pt>
              </c:strCache>
            </c:strRef>
          </c:tx>
          <c:spPr>
            <a:ln w="28575" cap="rnd">
              <a:solidFill>
                <a:schemeClr val="accent3"/>
              </a:solidFill>
              <a:round/>
            </a:ln>
            <a:effectLst/>
          </c:spPr>
          <c:marker>
            <c:symbol val="none"/>
          </c:marker>
          <c:cat>
            <c:strRef>
              <c:f>'5 Year Trend'!$J$4:$N$4</c:f>
              <c:strCache>
                <c:ptCount val="5"/>
                <c:pt idx="0">
                  <c:v>Yr 2022</c:v>
                </c:pt>
                <c:pt idx="1">
                  <c:v>Yr 2023</c:v>
                </c:pt>
                <c:pt idx="2">
                  <c:v>Yr 2024</c:v>
                </c:pt>
                <c:pt idx="3">
                  <c:v>Yr 2025</c:v>
                </c:pt>
                <c:pt idx="4">
                  <c:v>Yr 2026</c:v>
                </c:pt>
              </c:strCache>
            </c:strRef>
          </c:cat>
          <c:val>
            <c:numRef>
              <c:f>'5 Year Trend'!$J$7:$N$7</c:f>
              <c:numCache>
                <c:formatCode>General</c:formatCode>
                <c:ptCount val="5"/>
                <c:pt idx="0">
                  <c:v>51.92</c:v>
                </c:pt>
                <c:pt idx="1">
                  <c:v>51.26</c:v>
                </c:pt>
                <c:pt idx="2">
                  <c:v>52.89</c:v>
                </c:pt>
                <c:pt idx="3">
                  <c:v>55.86</c:v>
                </c:pt>
                <c:pt idx="4">
                  <c:v>57.72</c:v>
                </c:pt>
              </c:numCache>
            </c:numRef>
          </c:val>
          <c:smooth val="0"/>
          <c:extLst>
            <c:ext xmlns:c16="http://schemas.microsoft.com/office/drawing/2014/chart" uri="{C3380CC4-5D6E-409C-BE32-E72D297353CC}">
              <c16:uniqueId val="{00000002-C602-483E-BF93-553BE263BADA}"/>
            </c:ext>
          </c:extLst>
        </c:ser>
        <c:ser>
          <c:idx val="3"/>
          <c:order val="3"/>
          <c:tx>
            <c:strRef>
              <c:f>'5 Year Trend'!$I$8</c:f>
              <c:strCache>
                <c:ptCount val="1"/>
                <c:pt idx="0">
                  <c:v>Lufthansa Group</c:v>
                </c:pt>
              </c:strCache>
            </c:strRef>
          </c:tx>
          <c:spPr>
            <a:ln w="28575" cap="rnd">
              <a:solidFill>
                <a:schemeClr val="accent4"/>
              </a:solidFill>
              <a:round/>
            </a:ln>
            <a:effectLst/>
          </c:spPr>
          <c:marker>
            <c:symbol val="none"/>
          </c:marker>
          <c:cat>
            <c:strRef>
              <c:f>'5 Year Trend'!$J$4:$N$4</c:f>
              <c:strCache>
                <c:ptCount val="5"/>
                <c:pt idx="0">
                  <c:v>Yr 2022</c:v>
                </c:pt>
                <c:pt idx="1">
                  <c:v>Yr 2023</c:v>
                </c:pt>
                <c:pt idx="2">
                  <c:v>Yr 2024</c:v>
                </c:pt>
                <c:pt idx="3">
                  <c:v>Yr 2025</c:v>
                </c:pt>
                <c:pt idx="4">
                  <c:v>Yr 2026</c:v>
                </c:pt>
              </c:strCache>
            </c:strRef>
          </c:cat>
          <c:val>
            <c:numRef>
              <c:f>'5 Year Trend'!$J$8:$N$8</c:f>
              <c:numCache>
                <c:formatCode>General</c:formatCode>
                <c:ptCount val="5"/>
                <c:pt idx="0">
                  <c:v>35.08</c:v>
                </c:pt>
                <c:pt idx="1">
                  <c:v>37.22</c:v>
                </c:pt>
                <c:pt idx="2">
                  <c:v>38.619999999999997</c:v>
                </c:pt>
                <c:pt idx="3">
                  <c:v>43.34</c:v>
                </c:pt>
                <c:pt idx="4">
                  <c:v>45.43</c:v>
                </c:pt>
              </c:numCache>
            </c:numRef>
          </c:val>
          <c:smooth val="0"/>
          <c:extLst>
            <c:ext xmlns:c16="http://schemas.microsoft.com/office/drawing/2014/chart" uri="{C3380CC4-5D6E-409C-BE32-E72D297353CC}">
              <c16:uniqueId val="{00000003-C602-483E-BF93-553BE263BADA}"/>
            </c:ext>
          </c:extLst>
        </c:ser>
        <c:ser>
          <c:idx val="4"/>
          <c:order val="4"/>
          <c:tx>
            <c:strRef>
              <c:f>'5 Year Trend'!$I$9</c:f>
              <c:strCache>
                <c:ptCount val="1"/>
                <c:pt idx="0">
                  <c:v>Air France-KLM</c:v>
                </c:pt>
              </c:strCache>
            </c:strRef>
          </c:tx>
          <c:spPr>
            <a:ln w="28575" cap="rnd">
              <a:solidFill>
                <a:schemeClr val="accent5"/>
              </a:solidFill>
              <a:round/>
            </a:ln>
            <a:effectLst/>
          </c:spPr>
          <c:marker>
            <c:symbol val="none"/>
          </c:marker>
          <c:cat>
            <c:strRef>
              <c:f>'5 Year Trend'!$J$4:$N$4</c:f>
              <c:strCache>
                <c:ptCount val="5"/>
                <c:pt idx="0">
                  <c:v>Yr 2022</c:v>
                </c:pt>
                <c:pt idx="1">
                  <c:v>Yr 2023</c:v>
                </c:pt>
                <c:pt idx="2">
                  <c:v>Yr 2024</c:v>
                </c:pt>
                <c:pt idx="3">
                  <c:v>Yr 2025</c:v>
                </c:pt>
                <c:pt idx="4">
                  <c:v>Yr 2026</c:v>
                </c:pt>
              </c:strCache>
            </c:strRef>
          </c:cat>
          <c:val>
            <c:numRef>
              <c:f>'5 Year Trend'!$J$9:$N$9</c:f>
              <c:numCache>
                <c:formatCode>General</c:formatCode>
                <c:ptCount val="5"/>
                <c:pt idx="0">
                  <c:v>28.11</c:v>
                </c:pt>
                <c:pt idx="1">
                  <c:v>32.479999999999997</c:v>
                </c:pt>
                <c:pt idx="2">
                  <c:v>33.770000000000003</c:v>
                </c:pt>
                <c:pt idx="3">
                  <c:v>38</c:v>
                </c:pt>
                <c:pt idx="4">
                  <c:v>38.729999999999997</c:v>
                </c:pt>
              </c:numCache>
            </c:numRef>
          </c:val>
          <c:smooth val="0"/>
          <c:extLst>
            <c:ext xmlns:c16="http://schemas.microsoft.com/office/drawing/2014/chart" uri="{C3380CC4-5D6E-409C-BE32-E72D297353CC}">
              <c16:uniqueId val="{00000004-C602-483E-BF93-553BE263BADA}"/>
            </c:ext>
          </c:extLst>
        </c:ser>
        <c:dLbls>
          <c:showLegendKey val="0"/>
          <c:showVal val="0"/>
          <c:showCatName val="0"/>
          <c:showSerName val="0"/>
          <c:showPercent val="0"/>
          <c:showBubbleSize val="0"/>
        </c:dLbls>
        <c:upDownBars>
          <c:gapWidth val="150"/>
          <c:upBars>
            <c:spPr>
              <a:solidFill>
                <a:schemeClr val="lt1"/>
              </a:solidFill>
              <a:ln w="9525">
                <a:solidFill>
                  <a:schemeClr val="tx1">
                    <a:lumMod val="15000"/>
                    <a:lumOff val="85000"/>
                  </a:schemeClr>
                </a:solidFill>
              </a:ln>
              <a:effectLst/>
            </c:spPr>
          </c:upBars>
          <c:downBars>
            <c:spPr>
              <a:solidFill>
                <a:schemeClr val="dk1">
                  <a:lumMod val="65000"/>
                  <a:lumOff val="35000"/>
                </a:schemeClr>
              </a:solidFill>
              <a:ln w="9525">
                <a:solidFill>
                  <a:schemeClr val="tx1">
                    <a:lumMod val="65000"/>
                    <a:lumOff val="35000"/>
                  </a:schemeClr>
                </a:solidFill>
              </a:ln>
              <a:effectLst/>
            </c:spPr>
          </c:downBars>
        </c:upDownBars>
        <c:smooth val="0"/>
        <c:axId val="691039968"/>
        <c:axId val="691042432"/>
      </c:lineChart>
      <c:catAx>
        <c:axId val="6910399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1042432"/>
        <c:crosses val="autoZero"/>
        <c:auto val="1"/>
        <c:lblAlgn val="ctr"/>
        <c:lblOffset val="100"/>
        <c:noMultiLvlLbl val="0"/>
      </c:catAx>
      <c:valAx>
        <c:axId val="69104243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10399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[Airline Performance Dashboard.xlsx]Region!PivotTable1</c:name>
    <c:fmtId val="6"/>
  </c:pivotSource>
  <c:chart>
    <c:autoTitleDeleted val="1"/>
    <c:pivotFmts>
      <c:pivotFmt>
        <c:idx val="0"/>
        <c:spPr>
          <a:solidFill>
            <a:schemeClr val="accent1"/>
          </a:solidFill>
          <a:ln w="25400">
            <a:solidFill>
              <a:schemeClr val="lt1"/>
            </a:solidFill>
          </a:ln>
          <a:effectLst/>
          <a:sp3d contourW="25400">
            <a:contourClr>
              <a:schemeClr val="lt1"/>
            </a:contourClr>
          </a:sp3d>
        </c:spPr>
        <c:marker>
          <c:symbol val="none"/>
        </c:marker>
        <c:dLbl>
          <c:idx val="0"/>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0" spcFirstLastPara="1" vertOverflow="ellipsis" vert="horz" wrap="square" anchor="ctr" anchorCtr="1"/>
            <a:lstStyle/>
            <a:p>
              <a:pPr>
                <a:defRPr sz="900" b="0" i="0" u="none" strike="noStrike" kern="1200" baseline="0">
                  <a:ln>
                    <a:noFill/>
                  </a:ln>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dLbl>
          <c:idx val="0"/>
          <c:layout>
            <c:manualLayout>
              <c:x val="3.5983668237265322E-2"/>
              <c:y val="-1.43729948365181E-2"/>
            </c:manualLayout>
          </c:layou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0" spcFirstLastPara="1" vertOverflow="ellipsis" vert="horz" wrap="square" anchor="ctr" anchorCtr="1"/>
            <a:lstStyle/>
            <a:p>
              <a:pPr>
                <a:defRPr sz="900" b="0" i="0" u="none" strike="noStrike" kern="1200" baseline="0">
                  <a:ln>
                    <a:noFill/>
                  </a:ln>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w="25400">
            <a:solidFill>
              <a:schemeClr val="lt1"/>
            </a:solidFill>
          </a:ln>
          <a:effectLst/>
          <a:sp3d contourW="25400">
            <a:contourClr>
              <a:schemeClr val="lt1"/>
            </a:contourClr>
          </a:sp3d>
        </c:spPr>
        <c:dLbl>
          <c:idx val="0"/>
          <c:layout>
            <c:manualLayout>
              <c:x val="3.973275900251945E-4"/>
              <c:y val="0.11066122151966527"/>
            </c:manualLayout>
          </c:layou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0" spcFirstLastPara="1" vertOverflow="ellipsis" vert="horz" wrap="square" anchor="ctr" anchorCtr="1"/>
            <a:lstStyle/>
            <a:p>
              <a:pPr>
                <a:defRPr sz="900" b="0" i="0" u="none" strike="noStrike" kern="1200" baseline="0">
                  <a:ln>
                    <a:noFill/>
                  </a:ln>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3"/>
          </a:solidFill>
          <a:ln w="25400">
            <a:solidFill>
              <a:schemeClr val="lt1"/>
            </a:solidFill>
          </a:ln>
          <a:effectLst/>
          <a:sp3d contourW="25400">
            <a:contourClr>
              <a:schemeClr val="lt1"/>
            </a:contourClr>
          </a:sp3d>
        </c:spPr>
        <c:dLbl>
          <c:idx val="0"/>
          <c:layout>
            <c:manualLayout>
              <c:x val="0.12022481517457426"/>
              <c:y val="6.7878024853400984E-2"/>
            </c:manualLayout>
          </c:layou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0" spcFirstLastPara="1" vertOverflow="ellipsis" vert="horz" wrap="square" anchor="ctr" anchorCtr="1"/>
            <a:lstStyle/>
            <a:p>
              <a:pPr>
                <a:defRPr sz="900" b="0" i="0" u="none" strike="noStrike" kern="1200" baseline="0">
                  <a:ln>
                    <a:noFill/>
                  </a:ln>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5"/>
          </a:solidFill>
          <a:ln w="25400">
            <a:solidFill>
              <a:schemeClr val="lt1"/>
            </a:solidFill>
          </a:ln>
          <a:effectLst/>
          <a:sp3d contourW="25400">
            <a:contourClr>
              <a:schemeClr val="lt1"/>
            </a:contourClr>
          </a:sp3d>
        </c:spPr>
        <c:dLbl>
          <c:idx val="0"/>
          <c:layout>
            <c:manualLayout>
              <c:x val="1.9559886564453403E-2"/>
              <c:y val="-0.15650986366163466"/>
            </c:manualLayout>
          </c:layou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0" spcFirstLastPara="1" vertOverflow="ellipsis" vert="horz" wrap="square" anchor="ctr" anchorCtr="1"/>
            <a:lstStyle/>
            <a:p>
              <a:pPr>
                <a:defRPr sz="900" b="0" i="0" u="none" strike="noStrike" kern="1200" baseline="0">
                  <a:ln>
                    <a:noFill/>
                  </a:ln>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solidFill>
          <a:ln w="25400">
            <a:solidFill>
              <a:schemeClr val="lt1"/>
            </a:solidFill>
          </a:ln>
          <a:effectLst/>
          <a:sp3d contourW="25400">
            <a:contourClr>
              <a:schemeClr val="lt1"/>
            </a:contourClr>
          </a:sp3d>
        </c:spPr>
        <c:dLbl>
          <c:idx val="0"/>
          <c:layout>
            <c:manualLayout>
              <c:x val="-3.8286154975050668E-2"/>
              <c:y val="8.7551367039065298E-2"/>
            </c:manualLayout>
          </c:layou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0" spcFirstLastPara="1" vertOverflow="ellipsis" vert="horz" wrap="square" anchor="ctr" anchorCtr="1"/>
            <a:lstStyle/>
            <a:p>
              <a:pPr>
                <a:defRPr sz="900" b="0" i="0" u="none" strike="noStrike" kern="1200" baseline="0">
                  <a:ln>
                    <a:noFill/>
                  </a:ln>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5400">
            <a:solidFill>
              <a:schemeClr val="lt1"/>
            </a:solidFill>
          </a:ln>
          <a:effectLst/>
          <a:sp3d contourW="25400">
            <a:contourClr>
              <a:schemeClr val="lt1"/>
            </a:contourClr>
          </a:sp3d>
        </c:spPr>
        <c:marker>
          <c:symbol val="none"/>
        </c:marker>
        <c:dLbl>
          <c:idx val="0"/>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0" spcFirstLastPara="1" vertOverflow="ellipsis" vert="horz" wrap="square" anchor="ctr" anchorCtr="1"/>
            <a:lstStyle/>
            <a:p>
              <a:pPr>
                <a:defRPr sz="900" b="0" i="0" u="none" strike="noStrike" kern="1200" baseline="0">
                  <a:ln>
                    <a:noFill/>
                  </a:ln>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5400">
            <a:solidFill>
              <a:schemeClr val="lt1"/>
            </a:solidFill>
          </a:ln>
          <a:effectLst/>
          <a:sp3d contourW="25400">
            <a:contourClr>
              <a:schemeClr val="lt1"/>
            </a:contourClr>
          </a:sp3d>
        </c:spPr>
        <c:dLbl>
          <c:idx val="0"/>
          <c:layout>
            <c:manualLayout>
              <c:x val="3.5983668237265322E-2"/>
              <c:y val="-1.43729948365181E-2"/>
            </c:manualLayout>
          </c:layou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0" spcFirstLastPara="1" vertOverflow="ellipsis" vert="horz" wrap="square" anchor="ctr" anchorCtr="1"/>
            <a:lstStyle/>
            <a:p>
              <a:pPr>
                <a:defRPr sz="900" b="0" i="0" u="none" strike="noStrike" kern="1200" baseline="0">
                  <a:ln>
                    <a:noFill/>
                  </a:ln>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25400">
            <a:solidFill>
              <a:schemeClr val="lt1"/>
            </a:solidFill>
          </a:ln>
          <a:effectLst/>
          <a:sp3d contourW="25400">
            <a:contourClr>
              <a:schemeClr val="lt1"/>
            </a:contourClr>
          </a:sp3d>
        </c:spPr>
        <c:dLbl>
          <c:idx val="0"/>
          <c:layout>
            <c:manualLayout>
              <c:x val="3.973275900251945E-4"/>
              <c:y val="0.11066122151966527"/>
            </c:manualLayout>
          </c:layou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0" spcFirstLastPara="1" vertOverflow="ellipsis" vert="horz" wrap="square" anchor="ctr" anchorCtr="1"/>
            <a:lstStyle/>
            <a:p>
              <a:pPr>
                <a:defRPr sz="900" b="0" i="0" u="none" strike="noStrike" kern="1200" baseline="0">
                  <a:ln>
                    <a:noFill/>
                  </a:ln>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25400">
            <a:solidFill>
              <a:schemeClr val="lt1"/>
            </a:solidFill>
          </a:ln>
          <a:effectLst/>
          <a:sp3d contourW="25400">
            <a:contourClr>
              <a:schemeClr val="lt1"/>
            </a:contourClr>
          </a:sp3d>
        </c:spPr>
        <c:dLbl>
          <c:idx val="0"/>
          <c:layout>
            <c:manualLayout>
              <c:x val="0.12022481517457426"/>
              <c:y val="6.7878024853400984E-2"/>
            </c:manualLayout>
          </c:layou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0" spcFirstLastPara="1" vertOverflow="ellipsis" vert="horz" wrap="square" anchor="ctr" anchorCtr="1"/>
            <a:lstStyle/>
            <a:p>
              <a:pPr>
                <a:defRPr sz="900" b="0" i="0" u="none" strike="noStrike" kern="1200" baseline="0">
                  <a:ln>
                    <a:noFill/>
                  </a:ln>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5400">
            <a:solidFill>
              <a:schemeClr val="lt1"/>
            </a:solidFill>
          </a:ln>
          <a:effectLst/>
          <a:sp3d contourW="25400">
            <a:contourClr>
              <a:schemeClr val="lt1"/>
            </a:contourClr>
          </a:sp3d>
        </c:spPr>
        <c:dLbl>
          <c:idx val="0"/>
          <c:layout>
            <c:manualLayout>
              <c:x val="-3.8286154975050668E-2"/>
              <c:y val="8.7551367039065298E-2"/>
            </c:manualLayout>
          </c:layou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0" spcFirstLastPara="1" vertOverflow="ellipsis" vert="horz" wrap="square" anchor="ctr" anchorCtr="1"/>
            <a:lstStyle/>
            <a:p>
              <a:pPr>
                <a:defRPr sz="900" b="0" i="0" u="none" strike="noStrike" kern="1200" baseline="0">
                  <a:ln>
                    <a:noFill/>
                  </a:ln>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5400">
            <a:solidFill>
              <a:schemeClr val="lt1"/>
            </a:solidFill>
          </a:ln>
          <a:effectLst/>
          <a:sp3d contourW="25400">
            <a:contourClr>
              <a:schemeClr val="lt1"/>
            </a:contourClr>
          </a:sp3d>
        </c:spPr>
        <c:dLbl>
          <c:idx val="0"/>
          <c:layout>
            <c:manualLayout>
              <c:x val="1.9559886564453403E-2"/>
              <c:y val="-0.15650986366163466"/>
            </c:manualLayout>
          </c:layou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0" spcFirstLastPara="1" vertOverflow="ellipsis" vert="horz" wrap="square" anchor="ctr" anchorCtr="1"/>
            <a:lstStyle/>
            <a:p>
              <a:pPr>
                <a:defRPr sz="900" b="0" i="0" u="none" strike="noStrike" kern="1200" baseline="0">
                  <a:ln>
                    <a:noFill/>
                  </a:ln>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5400">
            <a:solidFill>
              <a:schemeClr val="lt1"/>
            </a:solidFill>
          </a:ln>
          <a:effectLst/>
          <a:sp3d contourW="25400">
            <a:contourClr>
              <a:schemeClr val="lt1"/>
            </a:contourClr>
          </a:sp3d>
        </c:spPr>
        <c:marker>
          <c:symbol val="none"/>
        </c:marker>
        <c:dLbl>
          <c:idx val="0"/>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0" spcFirstLastPara="1" vertOverflow="ellipsis" vert="horz" wrap="square" anchor="ctr" anchorCtr="1"/>
            <a:lstStyle/>
            <a:p>
              <a:pPr>
                <a:defRPr sz="900" b="0" i="0" u="none" strike="noStrike" kern="1200" baseline="0">
                  <a:ln>
                    <a:noFill/>
                  </a:ln>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5400">
            <a:solidFill>
              <a:schemeClr val="lt1"/>
            </a:solidFill>
          </a:ln>
          <a:effectLst/>
          <a:sp3d contourW="25400">
            <a:contourClr>
              <a:schemeClr val="lt1"/>
            </a:contourClr>
          </a:sp3d>
        </c:spPr>
        <c:dLbl>
          <c:idx val="0"/>
          <c:layout>
            <c:manualLayout>
              <c:x val="3.5983668237265322E-2"/>
              <c:y val="-1.43729948365181E-2"/>
            </c:manualLayout>
          </c:layou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0" spcFirstLastPara="1" vertOverflow="ellipsis" vert="horz" wrap="square" anchor="ctr" anchorCtr="1"/>
            <a:lstStyle/>
            <a:p>
              <a:pPr>
                <a:defRPr sz="900" b="0" i="0" u="none" strike="noStrike" kern="1200" baseline="0">
                  <a:ln>
                    <a:noFill/>
                  </a:ln>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5400">
            <a:solidFill>
              <a:schemeClr val="lt1"/>
            </a:solidFill>
          </a:ln>
          <a:effectLst/>
          <a:sp3d contourW="25400">
            <a:contourClr>
              <a:schemeClr val="lt1"/>
            </a:contourClr>
          </a:sp3d>
        </c:spPr>
        <c:dLbl>
          <c:idx val="0"/>
          <c:layout>
            <c:manualLayout>
              <c:x val="3.973275900251945E-4"/>
              <c:y val="0.11066122151966527"/>
            </c:manualLayout>
          </c:layou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0" spcFirstLastPara="1" vertOverflow="ellipsis" vert="horz" wrap="square" anchor="ctr" anchorCtr="1"/>
            <a:lstStyle/>
            <a:p>
              <a:pPr>
                <a:defRPr sz="900" b="0" i="0" u="none" strike="noStrike" kern="1200" baseline="0">
                  <a:ln>
                    <a:noFill/>
                  </a:ln>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5400">
            <a:solidFill>
              <a:schemeClr val="lt1"/>
            </a:solidFill>
          </a:ln>
          <a:effectLst/>
          <a:sp3d contourW="25400">
            <a:contourClr>
              <a:schemeClr val="lt1"/>
            </a:contourClr>
          </a:sp3d>
        </c:spPr>
        <c:dLbl>
          <c:idx val="0"/>
          <c:layout>
            <c:manualLayout>
              <c:x val="0.12022481517457426"/>
              <c:y val="6.7878024853400984E-2"/>
            </c:manualLayout>
          </c:layou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0" spcFirstLastPara="1" vertOverflow="ellipsis" vert="horz" wrap="square" anchor="ctr" anchorCtr="1"/>
            <a:lstStyle/>
            <a:p>
              <a:pPr>
                <a:defRPr sz="900" b="0" i="0" u="none" strike="noStrike" kern="1200" baseline="0">
                  <a:ln>
                    <a:noFill/>
                  </a:ln>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5400">
            <a:solidFill>
              <a:schemeClr val="lt1"/>
            </a:solidFill>
          </a:ln>
          <a:effectLst/>
          <a:sp3d contourW="25400">
            <a:contourClr>
              <a:schemeClr val="lt1"/>
            </a:contourClr>
          </a:sp3d>
        </c:spPr>
        <c:dLbl>
          <c:idx val="0"/>
          <c:layout>
            <c:manualLayout>
              <c:x val="-3.8286154975050668E-2"/>
              <c:y val="8.7551367039065298E-2"/>
            </c:manualLayout>
          </c:layou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0" spcFirstLastPara="1" vertOverflow="ellipsis" vert="horz" wrap="square" anchor="ctr" anchorCtr="1"/>
            <a:lstStyle/>
            <a:p>
              <a:pPr>
                <a:defRPr sz="900" b="0" i="0" u="none" strike="noStrike" kern="1200" baseline="0">
                  <a:ln>
                    <a:noFill/>
                  </a:ln>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5400">
            <a:solidFill>
              <a:schemeClr val="lt1"/>
            </a:solidFill>
          </a:ln>
          <a:effectLst/>
          <a:sp3d contourW="25400">
            <a:contourClr>
              <a:schemeClr val="lt1"/>
            </a:contourClr>
          </a:sp3d>
        </c:spPr>
        <c:dLbl>
          <c:idx val="0"/>
          <c:layout>
            <c:manualLayout>
              <c:x val="1.9559886564453403E-2"/>
              <c:y val="-0.15650986366163466"/>
            </c:manualLayout>
          </c:layou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0" spcFirstLastPara="1" vertOverflow="ellipsis" vert="horz" wrap="square" anchor="ctr" anchorCtr="1"/>
            <a:lstStyle/>
            <a:p>
              <a:pPr>
                <a:defRPr sz="900" b="0" i="0" u="none" strike="noStrike" kern="1200" baseline="0">
                  <a:ln>
                    <a:noFill/>
                  </a:ln>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5400">
            <a:solidFill>
              <a:schemeClr val="lt1"/>
            </a:solidFill>
          </a:ln>
          <a:effectLst/>
          <a:sp3d contourW="25400">
            <a:contourClr>
              <a:schemeClr val="lt1"/>
            </a:contourClr>
          </a:sp3d>
        </c:spPr>
        <c:marker>
          <c:symbol val="none"/>
        </c:marker>
        <c:dLbl>
          <c:idx val="0"/>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0" spcFirstLastPara="1" vertOverflow="ellipsis" vert="horz" wrap="square" anchor="ctr" anchorCtr="1"/>
            <a:lstStyle/>
            <a:p>
              <a:pPr>
                <a:defRPr sz="900" b="0" i="0" u="none" strike="noStrike" kern="1200" baseline="0">
                  <a:ln>
                    <a:noFill/>
                  </a:ln>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5400">
            <a:solidFill>
              <a:schemeClr val="lt1"/>
            </a:solidFill>
          </a:ln>
          <a:effectLst/>
          <a:sp3d contourW="25400">
            <a:contourClr>
              <a:schemeClr val="lt1"/>
            </a:contourClr>
          </a:sp3d>
        </c:spPr>
        <c:dLbl>
          <c:idx val="0"/>
          <c:layout>
            <c:manualLayout>
              <c:x val="3.5983668237265322E-2"/>
              <c:y val="-1.43729948365181E-2"/>
            </c:manualLayout>
          </c:layou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0" spcFirstLastPara="1" vertOverflow="ellipsis" vert="horz" wrap="square" anchor="ctr" anchorCtr="1"/>
            <a:lstStyle/>
            <a:p>
              <a:pPr>
                <a:defRPr sz="900" b="0" i="0" u="none" strike="noStrike" kern="1200" baseline="0">
                  <a:ln>
                    <a:noFill/>
                  </a:ln>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5400">
            <a:solidFill>
              <a:schemeClr val="lt1"/>
            </a:solidFill>
          </a:ln>
          <a:effectLst/>
          <a:sp3d contourW="25400">
            <a:contourClr>
              <a:schemeClr val="lt1"/>
            </a:contourClr>
          </a:sp3d>
        </c:spPr>
        <c:dLbl>
          <c:idx val="0"/>
          <c:layout>
            <c:manualLayout>
              <c:x val="3.973275900251945E-4"/>
              <c:y val="0.11066122151966527"/>
            </c:manualLayout>
          </c:layou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0" spcFirstLastPara="1" vertOverflow="ellipsis" vert="horz" wrap="square" anchor="ctr" anchorCtr="1"/>
            <a:lstStyle/>
            <a:p>
              <a:pPr>
                <a:defRPr sz="900" b="0" i="0" u="none" strike="noStrike" kern="1200" baseline="0">
                  <a:ln>
                    <a:noFill/>
                  </a:ln>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5400">
            <a:solidFill>
              <a:schemeClr val="lt1"/>
            </a:solidFill>
          </a:ln>
          <a:effectLst/>
          <a:sp3d contourW="25400">
            <a:contourClr>
              <a:schemeClr val="lt1"/>
            </a:contourClr>
          </a:sp3d>
        </c:spPr>
        <c:dLbl>
          <c:idx val="0"/>
          <c:layout>
            <c:manualLayout>
              <c:x val="0.12022481517457426"/>
              <c:y val="6.7878024853400984E-2"/>
            </c:manualLayout>
          </c:layou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0" spcFirstLastPara="1" vertOverflow="ellipsis" vert="horz" wrap="square" anchor="ctr" anchorCtr="1"/>
            <a:lstStyle/>
            <a:p>
              <a:pPr>
                <a:defRPr sz="900" b="0" i="0" u="none" strike="noStrike" kern="1200" baseline="0">
                  <a:ln>
                    <a:noFill/>
                  </a:ln>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5400">
            <a:solidFill>
              <a:schemeClr val="lt1"/>
            </a:solidFill>
          </a:ln>
          <a:effectLst/>
          <a:sp3d contourW="25400">
            <a:contourClr>
              <a:schemeClr val="lt1"/>
            </a:contourClr>
          </a:sp3d>
        </c:spPr>
        <c:dLbl>
          <c:idx val="0"/>
          <c:layout>
            <c:manualLayout>
              <c:x val="-3.8286154975050668E-2"/>
              <c:y val="8.7551367039065298E-2"/>
            </c:manualLayout>
          </c:layou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0" spcFirstLastPara="1" vertOverflow="ellipsis" vert="horz" wrap="square" anchor="ctr" anchorCtr="1"/>
            <a:lstStyle/>
            <a:p>
              <a:pPr>
                <a:defRPr sz="900" b="0" i="0" u="none" strike="noStrike" kern="1200" baseline="0">
                  <a:ln>
                    <a:noFill/>
                  </a:ln>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5400">
            <a:solidFill>
              <a:schemeClr val="lt1"/>
            </a:solidFill>
          </a:ln>
          <a:effectLst/>
          <a:sp3d contourW="25400">
            <a:contourClr>
              <a:schemeClr val="lt1"/>
            </a:contourClr>
          </a:sp3d>
        </c:spPr>
        <c:dLbl>
          <c:idx val="0"/>
          <c:layout>
            <c:manualLayout>
              <c:x val="1.9559886564453403E-2"/>
              <c:y val="-0.15650986366163466"/>
            </c:manualLayout>
          </c:layou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0" spcFirstLastPara="1" vertOverflow="ellipsis" vert="horz" wrap="square" anchor="ctr" anchorCtr="1"/>
            <a:lstStyle/>
            <a:p>
              <a:pPr>
                <a:defRPr sz="900" b="0" i="0" u="none" strike="noStrike" kern="1200" baseline="0">
                  <a:ln>
                    <a:noFill/>
                  </a:ln>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w="25400">
            <a:solidFill>
              <a:schemeClr val="lt1"/>
            </a:solidFill>
          </a:ln>
          <a:effectLst/>
          <a:sp3d contourW="25400">
            <a:contourClr>
              <a:schemeClr val="lt1"/>
            </a:contourClr>
          </a:sp3d>
        </c:spPr>
        <c:marker>
          <c:symbol val="none"/>
        </c:marker>
        <c:dLbl>
          <c:idx val="0"/>
          <c:spPr>
            <a:solidFill>
              <a:sysClr val="window" lastClr="FFFFFF"/>
            </a:solidFill>
            <a:ln>
              <a:solidFill>
                <a:schemeClr val="bg1"/>
              </a:solidFill>
            </a:ln>
            <a:effectLst/>
          </c:spPr>
          <c:txPr>
            <a:bodyPr rot="0" spcFirstLastPara="1" vertOverflow="ellipsis" vert="horz" wrap="square" anchor="ctr" anchorCtr="1"/>
            <a:lstStyle/>
            <a:p>
              <a:pPr>
                <a:defRPr sz="900" b="0" i="0" u="none" strike="noStrike" kern="1200" baseline="0">
                  <a:ln>
                    <a:noFill/>
                  </a:ln>
                  <a:solidFill>
                    <a:schemeClr val="tx1"/>
                  </a:solidFill>
                  <a:latin typeface="Arial" panose="020B0604020202020204" pitchFamily="34" charset="0"/>
                  <a:ea typeface="+mn-ea"/>
                  <a:cs typeface="Arial" panose="020B0604020202020204" pitchFamily="34" charset="0"/>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25"/>
        <c:spPr>
          <a:solidFill>
            <a:schemeClr val="accent1"/>
          </a:solidFill>
          <a:ln w="25400">
            <a:solidFill>
              <a:schemeClr val="lt1"/>
            </a:solidFill>
          </a:ln>
          <a:effectLst/>
          <a:sp3d contourW="25400">
            <a:contourClr>
              <a:schemeClr val="lt1"/>
            </a:contourClr>
          </a:sp3d>
        </c:spPr>
        <c:dLbl>
          <c:idx val="0"/>
          <c:layout>
            <c:manualLayout>
              <c:x val="1.1375024995120713E-3"/>
              <c:y val="-5.0192635136303135E-2"/>
            </c:manualLayout>
          </c:layout>
          <c:spPr>
            <a:solidFill>
              <a:sysClr val="window" lastClr="FFFFFF"/>
            </a:solidFill>
            <a:ln>
              <a:solidFill>
                <a:schemeClr val="bg1"/>
              </a:solidFill>
            </a:ln>
            <a:effectLst/>
          </c:spPr>
          <c:txPr>
            <a:bodyPr rot="0" spcFirstLastPara="1" vertOverflow="ellipsis" vert="horz" wrap="square" anchor="ctr" anchorCtr="1"/>
            <a:lstStyle/>
            <a:p>
              <a:pPr>
                <a:defRPr sz="900" b="0" i="0" u="none" strike="noStrike" kern="1200" baseline="0">
                  <a:ln>
                    <a:noFill/>
                  </a:ln>
                  <a:solidFill>
                    <a:schemeClr val="tx1"/>
                  </a:solidFill>
                  <a:latin typeface="Arial" panose="020B0604020202020204" pitchFamily="34" charset="0"/>
                  <a:ea typeface="+mn-ea"/>
                  <a:cs typeface="Arial" panose="020B0604020202020204" pitchFamily="34" charset="0"/>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26"/>
        <c:spPr>
          <a:solidFill>
            <a:schemeClr val="accent1"/>
          </a:solidFill>
          <a:ln w="25400">
            <a:solidFill>
              <a:schemeClr val="lt1"/>
            </a:solidFill>
          </a:ln>
          <a:effectLst/>
          <a:sp3d contourW="25400">
            <a:contourClr>
              <a:schemeClr val="lt1"/>
            </a:contourClr>
          </a:sp3d>
        </c:spPr>
        <c:dLbl>
          <c:idx val="0"/>
          <c:layout>
            <c:manualLayout>
              <c:x val="-3.3511222759309657E-2"/>
              <c:y val="0.20224798613632042"/>
            </c:manualLayout>
          </c:layout>
          <c:spPr>
            <a:solidFill>
              <a:sysClr val="window" lastClr="FFFFFF"/>
            </a:solidFill>
            <a:ln>
              <a:solidFill>
                <a:schemeClr val="bg1"/>
              </a:solidFill>
            </a:ln>
            <a:effectLst/>
          </c:spPr>
          <c:txPr>
            <a:bodyPr rot="0" spcFirstLastPara="1" vertOverflow="ellipsis" vert="horz" wrap="square" anchor="ctr" anchorCtr="1"/>
            <a:lstStyle/>
            <a:p>
              <a:pPr>
                <a:defRPr sz="900" b="0" i="0" u="none" strike="noStrike" kern="1200" baseline="0">
                  <a:ln>
                    <a:noFill/>
                  </a:ln>
                  <a:solidFill>
                    <a:schemeClr val="tx1"/>
                  </a:solidFill>
                  <a:latin typeface="Arial" panose="020B0604020202020204" pitchFamily="34" charset="0"/>
                  <a:ea typeface="+mn-ea"/>
                  <a:cs typeface="Arial" panose="020B0604020202020204" pitchFamily="34" charset="0"/>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27"/>
        <c:spPr>
          <a:solidFill>
            <a:schemeClr val="accent1"/>
          </a:solidFill>
          <a:ln w="25400">
            <a:solidFill>
              <a:schemeClr val="lt1"/>
            </a:solidFill>
          </a:ln>
          <a:effectLst/>
          <a:sp3d contourW="25400">
            <a:contourClr>
              <a:schemeClr val="lt1"/>
            </a:contourClr>
          </a:sp3d>
        </c:spPr>
        <c:dLbl>
          <c:idx val="0"/>
          <c:layout>
            <c:manualLayout>
              <c:x val="1.0450454981043621E-2"/>
              <c:y val="0.20814372331414543"/>
            </c:manualLayout>
          </c:layout>
          <c:spPr>
            <a:solidFill>
              <a:sysClr val="window" lastClr="FFFFFF"/>
            </a:solidFill>
            <a:ln>
              <a:solidFill>
                <a:schemeClr val="bg1"/>
              </a:solidFill>
            </a:ln>
            <a:effectLst/>
          </c:spPr>
          <c:txPr>
            <a:bodyPr rot="0" spcFirstLastPara="1" vertOverflow="ellipsis" vert="horz" wrap="square" anchor="ctr" anchorCtr="1"/>
            <a:lstStyle/>
            <a:p>
              <a:pPr>
                <a:defRPr sz="900" b="0" i="0" u="none" strike="noStrike" kern="1200" baseline="0">
                  <a:ln>
                    <a:noFill/>
                  </a:ln>
                  <a:solidFill>
                    <a:schemeClr val="tx1"/>
                  </a:solidFill>
                  <a:latin typeface="Arial" panose="020B0604020202020204" pitchFamily="34" charset="0"/>
                  <a:ea typeface="+mn-ea"/>
                  <a:cs typeface="Arial" panose="020B0604020202020204" pitchFamily="34" charset="0"/>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28"/>
        <c:spPr>
          <a:solidFill>
            <a:schemeClr val="accent1"/>
          </a:solidFill>
          <a:ln w="25400">
            <a:solidFill>
              <a:schemeClr val="lt1"/>
            </a:solidFill>
          </a:ln>
          <a:effectLst/>
          <a:sp3d contourW="25400">
            <a:contourClr>
              <a:schemeClr val="lt1"/>
            </a:contourClr>
          </a:sp3d>
        </c:spPr>
        <c:dLbl>
          <c:idx val="0"/>
          <c:layout>
            <c:manualLayout>
              <c:x val="-1.4368652187257656E-2"/>
              <c:y val="0.18985202855710556"/>
            </c:manualLayout>
          </c:layout>
          <c:spPr>
            <a:solidFill>
              <a:sysClr val="window" lastClr="FFFFFF"/>
            </a:solidFill>
            <a:ln>
              <a:solidFill>
                <a:schemeClr val="bg1"/>
              </a:solidFill>
            </a:ln>
            <a:effectLst/>
          </c:spPr>
          <c:txPr>
            <a:bodyPr rot="0" spcFirstLastPara="1" vertOverflow="ellipsis" vert="horz" wrap="square" anchor="ctr" anchorCtr="1"/>
            <a:lstStyle/>
            <a:p>
              <a:pPr>
                <a:defRPr sz="900" b="0" i="0" u="none" strike="noStrike" kern="1200" baseline="0">
                  <a:ln>
                    <a:noFill/>
                  </a:ln>
                  <a:solidFill>
                    <a:schemeClr val="tx1"/>
                  </a:solidFill>
                  <a:latin typeface="Arial" panose="020B0604020202020204" pitchFamily="34" charset="0"/>
                  <a:ea typeface="+mn-ea"/>
                  <a:cs typeface="Arial" panose="020B0604020202020204" pitchFamily="34" charset="0"/>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29"/>
        <c:spPr>
          <a:solidFill>
            <a:schemeClr val="accent1"/>
          </a:solidFill>
          <a:ln w="25400">
            <a:solidFill>
              <a:schemeClr val="lt1"/>
            </a:solidFill>
          </a:ln>
          <a:effectLst/>
          <a:sp3d contourW="25400">
            <a:contourClr>
              <a:schemeClr val="lt1"/>
            </a:contourClr>
          </a:sp3d>
        </c:spPr>
        <c:dLbl>
          <c:idx val="0"/>
          <c:layout>
            <c:manualLayout>
              <c:x val="5.4967313765895601E-2"/>
              <c:y val="-0.12315251776175906"/>
            </c:manualLayout>
          </c:layout>
          <c:spPr>
            <a:solidFill>
              <a:sysClr val="window" lastClr="FFFFFF"/>
            </a:solidFill>
            <a:ln>
              <a:solidFill>
                <a:schemeClr val="bg1"/>
              </a:solidFill>
            </a:ln>
            <a:effectLst/>
          </c:spPr>
          <c:txPr>
            <a:bodyPr rot="0" spcFirstLastPara="1" vertOverflow="ellipsis" vert="horz" wrap="square" anchor="ctr" anchorCtr="1"/>
            <a:lstStyle/>
            <a:p>
              <a:pPr>
                <a:defRPr sz="900" b="0" i="0" u="none" strike="noStrike" kern="1200" baseline="0">
                  <a:ln>
                    <a:noFill/>
                  </a:ln>
                  <a:solidFill>
                    <a:schemeClr val="tx1"/>
                  </a:solidFill>
                  <a:latin typeface="Arial" panose="020B0604020202020204" pitchFamily="34" charset="0"/>
                  <a:ea typeface="+mn-ea"/>
                  <a:cs typeface="Arial" panose="020B0604020202020204" pitchFamily="34" charset="0"/>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Region!$B$3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D36E-4998-9554-5C052F194713}"/>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D36E-4998-9554-5C052F194713}"/>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D36E-4998-9554-5C052F194713}"/>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D36E-4998-9554-5C052F194713}"/>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D36E-4998-9554-5C052F194713}"/>
              </c:ext>
            </c:extLst>
          </c:dPt>
          <c:dLbls>
            <c:dLbl>
              <c:idx val="0"/>
              <c:layout>
                <c:manualLayout>
                  <c:x val="1.1375024995120713E-3"/>
                  <c:y val="-5.0192635136303135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D36E-4998-9554-5C052F194713}"/>
                </c:ext>
              </c:extLst>
            </c:dLbl>
            <c:dLbl>
              <c:idx val="1"/>
              <c:layout>
                <c:manualLayout>
                  <c:x val="-3.3511222759309657E-2"/>
                  <c:y val="0.2022479861363204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D36E-4998-9554-5C052F194713}"/>
                </c:ext>
              </c:extLst>
            </c:dLbl>
            <c:dLbl>
              <c:idx val="2"/>
              <c:layout>
                <c:manualLayout>
                  <c:x val="1.0450454981043621E-2"/>
                  <c:y val="0.20814372331414543"/>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D36E-4998-9554-5C052F194713}"/>
                </c:ext>
              </c:extLst>
            </c:dLbl>
            <c:dLbl>
              <c:idx val="3"/>
              <c:layout>
                <c:manualLayout>
                  <c:x val="-1.4368652187257656E-2"/>
                  <c:y val="0.18985202855710556"/>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7-D36E-4998-9554-5C052F194713}"/>
                </c:ext>
              </c:extLst>
            </c:dLbl>
            <c:dLbl>
              <c:idx val="4"/>
              <c:layout>
                <c:manualLayout>
                  <c:x val="5.4967313765895601E-2"/>
                  <c:y val="-0.12315251776175906"/>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9-D36E-4998-9554-5C052F194713}"/>
                </c:ext>
              </c:extLst>
            </c:dLbl>
            <c:spPr>
              <a:solidFill>
                <a:sysClr val="window" lastClr="FFFFFF"/>
              </a:solidFill>
              <a:ln>
                <a:solidFill>
                  <a:schemeClr val="bg1"/>
                </a:solidFill>
              </a:ln>
              <a:effectLst/>
            </c:spPr>
            <c:txPr>
              <a:bodyPr rot="0" spcFirstLastPara="1" vertOverflow="ellipsis" vert="horz" wrap="square" anchor="ctr" anchorCtr="1"/>
              <a:lstStyle/>
              <a:p>
                <a:pPr>
                  <a:defRPr sz="900" b="0" i="0" u="none" strike="noStrike" kern="1200" baseline="0">
                    <a:ln>
                      <a:noFill/>
                    </a:ln>
                    <a:solidFill>
                      <a:schemeClr val="tx1"/>
                    </a:solidFill>
                    <a:latin typeface="Arial" panose="020B0604020202020204" pitchFamily="34" charset="0"/>
                    <a:ea typeface="+mn-ea"/>
                    <a:cs typeface="Arial" panose="020B0604020202020204" pitchFamily="34" charset="0"/>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Region!$A$4:$A$9</c:f>
              <c:strCache>
                <c:ptCount val="5"/>
                <c:pt idx="0">
                  <c:v>Asia</c:v>
                </c:pt>
                <c:pt idx="1">
                  <c:v>Europe</c:v>
                </c:pt>
                <c:pt idx="2">
                  <c:v>Latin America</c:v>
                </c:pt>
                <c:pt idx="3">
                  <c:v>Middle East</c:v>
                </c:pt>
                <c:pt idx="4">
                  <c:v>North America</c:v>
                </c:pt>
              </c:strCache>
            </c:strRef>
          </c:cat>
          <c:val>
            <c:numRef>
              <c:f>Region!$B$4:$B$9</c:f>
              <c:numCache>
                <c:formatCode>_(* #,##0.00_);_(* \(#,##0.00\);_(* "-"??_);_(@_)</c:formatCode>
                <c:ptCount val="5"/>
                <c:pt idx="0">
                  <c:v>715.42</c:v>
                </c:pt>
                <c:pt idx="1">
                  <c:v>801.0200000000001</c:v>
                </c:pt>
                <c:pt idx="2">
                  <c:v>80.929999999999993</c:v>
                </c:pt>
                <c:pt idx="3">
                  <c:v>347.39</c:v>
                </c:pt>
                <c:pt idx="4">
                  <c:v>1091.8799999999999</c:v>
                </c:pt>
              </c:numCache>
            </c:numRef>
          </c:val>
          <c:extLst>
            <c:ext xmlns:c16="http://schemas.microsoft.com/office/drawing/2014/chart" uri="{C3380CC4-5D6E-409C-BE32-E72D297353CC}">
              <c16:uniqueId val="{0000000A-D36E-4998-9554-5C052F194713}"/>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ln>
                <a:noFill/>
              </a:ln>
              <a:solidFill>
                <a:schemeClr val="tx1"/>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ln>
            <a:noFill/>
          </a:ln>
          <a:solidFill>
            <a:schemeClr val="tx1"/>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8541054951826482E-2"/>
          <c:y val="3.349679822727563E-2"/>
          <c:w val="0.82213078508725645"/>
          <c:h val="0.68366140001172537"/>
        </c:manualLayout>
      </c:layout>
      <c:barChart>
        <c:barDir val="col"/>
        <c:grouping val="clustered"/>
        <c:varyColors val="0"/>
        <c:ser>
          <c:idx val="0"/>
          <c:order val="0"/>
          <c:tx>
            <c:strRef>
              <c:f>'Airline Revenue'!$E$1</c:f>
              <c:strCache>
                <c:ptCount val="1"/>
                <c:pt idx="0">
                  <c:v>Revenue</c:v>
                </c:pt>
              </c:strCache>
            </c:strRef>
          </c:tx>
          <c:spPr>
            <a:solidFill>
              <a:schemeClr val="accent1"/>
            </a:solidFill>
            <a:ln>
              <a:noFill/>
            </a:ln>
            <a:effectLst/>
          </c:spPr>
          <c:invertIfNegative val="0"/>
          <c:cat>
            <c:strRef>
              <c:f>'Airline Revenue'!$D$2:$D$6</c:f>
              <c:strCache>
                <c:ptCount val="5"/>
                <c:pt idx="0">
                  <c:v>Delta Air Lines</c:v>
                </c:pt>
                <c:pt idx="1">
                  <c:v>United Airlines</c:v>
                </c:pt>
                <c:pt idx="2">
                  <c:v>American Airlines</c:v>
                </c:pt>
                <c:pt idx="3">
                  <c:v>Lufthansa Group</c:v>
                </c:pt>
                <c:pt idx="4">
                  <c:v>Air France-KLM</c:v>
                </c:pt>
              </c:strCache>
            </c:strRef>
          </c:cat>
          <c:val>
            <c:numRef>
              <c:f>'Airline Revenue'!$E$2:$E$6</c:f>
              <c:numCache>
                <c:formatCode>General</c:formatCode>
                <c:ptCount val="5"/>
                <c:pt idx="0">
                  <c:v>303.05</c:v>
                </c:pt>
                <c:pt idx="1">
                  <c:v>277.23</c:v>
                </c:pt>
                <c:pt idx="2">
                  <c:v>269.64999999999998</c:v>
                </c:pt>
                <c:pt idx="3">
                  <c:v>199.69</c:v>
                </c:pt>
                <c:pt idx="4">
                  <c:v>171.08999999999997</c:v>
                </c:pt>
              </c:numCache>
            </c:numRef>
          </c:val>
          <c:extLst>
            <c:ext xmlns:c16="http://schemas.microsoft.com/office/drawing/2014/chart" uri="{C3380CC4-5D6E-409C-BE32-E72D297353CC}">
              <c16:uniqueId val="{00000000-074E-4EFD-AFBD-73C47AF73BA7}"/>
            </c:ext>
          </c:extLst>
        </c:ser>
        <c:dLbls>
          <c:showLegendKey val="0"/>
          <c:showVal val="0"/>
          <c:showCatName val="0"/>
          <c:showSerName val="0"/>
          <c:showPercent val="0"/>
          <c:showBubbleSize val="0"/>
        </c:dLbls>
        <c:gapWidth val="219"/>
        <c:overlap val="-27"/>
        <c:axId val="874915424"/>
        <c:axId val="874917536"/>
      </c:barChart>
      <c:lineChart>
        <c:grouping val="standard"/>
        <c:varyColors val="0"/>
        <c:ser>
          <c:idx val="1"/>
          <c:order val="1"/>
          <c:tx>
            <c:strRef>
              <c:f>'Airline Revenue'!$F$1</c:f>
              <c:strCache>
                <c:ptCount val="1"/>
                <c:pt idx="0">
                  <c:v>Op. Revenue</c:v>
                </c:pt>
              </c:strCache>
            </c:strRef>
          </c:tx>
          <c:spPr>
            <a:ln w="28575" cap="rnd">
              <a:solidFill>
                <a:schemeClr val="accent2"/>
              </a:solidFill>
              <a:round/>
            </a:ln>
            <a:effectLst/>
          </c:spPr>
          <c:marker>
            <c:symbol val="none"/>
          </c:marker>
          <c:cat>
            <c:strRef>
              <c:f>'Airline Revenue'!$D$2:$D$6</c:f>
              <c:strCache>
                <c:ptCount val="5"/>
                <c:pt idx="0">
                  <c:v>Delta Air Lines</c:v>
                </c:pt>
                <c:pt idx="1">
                  <c:v>United Airlines</c:v>
                </c:pt>
                <c:pt idx="2">
                  <c:v>American Airlines</c:v>
                </c:pt>
                <c:pt idx="3">
                  <c:v>Lufthansa Group</c:v>
                </c:pt>
                <c:pt idx="4">
                  <c:v>Air France-KLM</c:v>
                </c:pt>
              </c:strCache>
            </c:strRef>
          </c:cat>
          <c:val>
            <c:numRef>
              <c:f>'Airline Revenue'!$F$2:$F$6</c:f>
              <c:numCache>
                <c:formatCode>General</c:formatCode>
                <c:ptCount val="5"/>
                <c:pt idx="0">
                  <c:v>21.77</c:v>
                </c:pt>
                <c:pt idx="1">
                  <c:v>14.19</c:v>
                </c:pt>
                <c:pt idx="2">
                  <c:v>17.8</c:v>
                </c:pt>
                <c:pt idx="3">
                  <c:v>13.85</c:v>
                </c:pt>
                <c:pt idx="4">
                  <c:v>10.64</c:v>
                </c:pt>
              </c:numCache>
            </c:numRef>
          </c:val>
          <c:smooth val="0"/>
          <c:extLst>
            <c:ext xmlns:c16="http://schemas.microsoft.com/office/drawing/2014/chart" uri="{C3380CC4-5D6E-409C-BE32-E72D297353CC}">
              <c16:uniqueId val="{00000001-074E-4EFD-AFBD-73C47AF73BA7}"/>
            </c:ext>
          </c:extLst>
        </c:ser>
        <c:dLbls>
          <c:showLegendKey val="0"/>
          <c:showVal val="0"/>
          <c:showCatName val="0"/>
          <c:showSerName val="0"/>
          <c:showPercent val="0"/>
          <c:showBubbleSize val="0"/>
        </c:dLbls>
        <c:marker val="1"/>
        <c:smooth val="0"/>
        <c:axId val="874919296"/>
        <c:axId val="874918944"/>
      </c:lineChart>
      <c:catAx>
        <c:axId val="8749154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874917536"/>
        <c:crosses val="autoZero"/>
        <c:auto val="1"/>
        <c:lblAlgn val="ctr"/>
        <c:lblOffset val="100"/>
        <c:noMultiLvlLbl val="0"/>
      </c:catAx>
      <c:valAx>
        <c:axId val="87491753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874915424"/>
        <c:crosses val="autoZero"/>
        <c:crossBetween val="between"/>
      </c:valAx>
      <c:valAx>
        <c:axId val="874918944"/>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874919296"/>
        <c:crosses val="max"/>
        <c:crossBetween val="between"/>
      </c:valAx>
      <c:catAx>
        <c:axId val="874919296"/>
        <c:scaling>
          <c:orientation val="minMax"/>
        </c:scaling>
        <c:delete val="1"/>
        <c:axPos val="b"/>
        <c:numFmt formatCode="General" sourceLinked="1"/>
        <c:majorTickMark val="out"/>
        <c:minorTickMark val="none"/>
        <c:tickLblPos val="nextTo"/>
        <c:crossAx val="874918944"/>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800">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userShapes r:id="rId3"/>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cked"/>
        <c:varyColors val="0"/>
        <c:ser>
          <c:idx val="0"/>
          <c:order val="0"/>
          <c:tx>
            <c:strRef>
              <c:f>'5 Year Trend'!$I$5</c:f>
              <c:strCache>
                <c:ptCount val="1"/>
                <c:pt idx="0">
                  <c:v>Delta Air Lines</c:v>
                </c:pt>
              </c:strCache>
            </c:strRef>
          </c:tx>
          <c:spPr>
            <a:ln w="28575" cap="rnd">
              <a:solidFill>
                <a:schemeClr val="accent1"/>
              </a:solidFill>
              <a:round/>
            </a:ln>
            <a:effectLst/>
          </c:spPr>
          <c:marker>
            <c:symbol val="none"/>
          </c:marker>
          <c:cat>
            <c:strRef>
              <c:f>'5 Year Trend'!$J$4:$N$4</c:f>
              <c:strCache>
                <c:ptCount val="5"/>
                <c:pt idx="0">
                  <c:v>Yr 2022</c:v>
                </c:pt>
                <c:pt idx="1">
                  <c:v>Yr 2023</c:v>
                </c:pt>
                <c:pt idx="2">
                  <c:v>Yr 2024</c:v>
                </c:pt>
                <c:pt idx="3">
                  <c:v>Yr 2025</c:v>
                </c:pt>
                <c:pt idx="4">
                  <c:v>Yr 2026</c:v>
                </c:pt>
              </c:strCache>
            </c:strRef>
          </c:cat>
          <c:val>
            <c:numRef>
              <c:f>'5 Year Trend'!$J$5:$N$5</c:f>
              <c:numCache>
                <c:formatCode>General</c:formatCode>
                <c:ptCount val="5"/>
                <c:pt idx="0">
                  <c:v>50.43</c:v>
                </c:pt>
                <c:pt idx="1">
                  <c:v>59.14</c:v>
                </c:pt>
                <c:pt idx="2">
                  <c:v>60.38</c:v>
                </c:pt>
                <c:pt idx="3">
                  <c:v>64.72</c:v>
                </c:pt>
                <c:pt idx="4">
                  <c:v>68.38</c:v>
                </c:pt>
              </c:numCache>
            </c:numRef>
          </c:val>
          <c:smooth val="0"/>
          <c:extLst>
            <c:ext xmlns:c16="http://schemas.microsoft.com/office/drawing/2014/chart" uri="{C3380CC4-5D6E-409C-BE32-E72D297353CC}">
              <c16:uniqueId val="{00000000-3572-43DA-91CD-7E7B0C7C6422}"/>
            </c:ext>
          </c:extLst>
        </c:ser>
        <c:ser>
          <c:idx val="1"/>
          <c:order val="1"/>
          <c:tx>
            <c:strRef>
              <c:f>'5 Year Trend'!$I$6</c:f>
              <c:strCache>
                <c:ptCount val="1"/>
                <c:pt idx="0">
                  <c:v>United Airlines</c:v>
                </c:pt>
              </c:strCache>
            </c:strRef>
          </c:tx>
          <c:spPr>
            <a:ln w="28575" cap="rnd">
              <a:solidFill>
                <a:schemeClr val="accent2"/>
              </a:solidFill>
              <a:round/>
            </a:ln>
            <a:effectLst/>
          </c:spPr>
          <c:marker>
            <c:symbol val="none"/>
          </c:marker>
          <c:cat>
            <c:strRef>
              <c:f>'5 Year Trend'!$J$4:$N$4</c:f>
              <c:strCache>
                <c:ptCount val="5"/>
                <c:pt idx="0">
                  <c:v>Yr 2022</c:v>
                </c:pt>
                <c:pt idx="1">
                  <c:v>Yr 2023</c:v>
                </c:pt>
                <c:pt idx="2">
                  <c:v>Yr 2024</c:v>
                </c:pt>
                <c:pt idx="3">
                  <c:v>Yr 2025</c:v>
                </c:pt>
                <c:pt idx="4">
                  <c:v>Yr 2026</c:v>
                </c:pt>
              </c:strCache>
            </c:strRef>
          </c:cat>
          <c:val>
            <c:numRef>
              <c:f>'5 Year Trend'!$J$6:$N$6</c:f>
              <c:numCache>
                <c:formatCode>General</c:formatCode>
                <c:ptCount val="5"/>
                <c:pt idx="0">
                  <c:v>45.02</c:v>
                </c:pt>
                <c:pt idx="1">
                  <c:v>54.78</c:v>
                </c:pt>
                <c:pt idx="2">
                  <c:v>56.96</c:v>
                </c:pt>
                <c:pt idx="3">
                  <c:v>58.19</c:v>
                </c:pt>
                <c:pt idx="4">
                  <c:v>62.28</c:v>
                </c:pt>
              </c:numCache>
            </c:numRef>
          </c:val>
          <c:smooth val="0"/>
          <c:extLst>
            <c:ext xmlns:c16="http://schemas.microsoft.com/office/drawing/2014/chart" uri="{C3380CC4-5D6E-409C-BE32-E72D297353CC}">
              <c16:uniqueId val="{00000001-3572-43DA-91CD-7E7B0C7C6422}"/>
            </c:ext>
          </c:extLst>
        </c:ser>
        <c:ser>
          <c:idx val="2"/>
          <c:order val="2"/>
          <c:tx>
            <c:strRef>
              <c:f>'5 Year Trend'!$I$7</c:f>
              <c:strCache>
                <c:ptCount val="1"/>
                <c:pt idx="0">
                  <c:v>American Airlines</c:v>
                </c:pt>
              </c:strCache>
            </c:strRef>
          </c:tx>
          <c:spPr>
            <a:ln w="28575" cap="rnd">
              <a:solidFill>
                <a:schemeClr val="accent3"/>
              </a:solidFill>
              <a:round/>
            </a:ln>
            <a:effectLst/>
          </c:spPr>
          <c:marker>
            <c:symbol val="none"/>
          </c:marker>
          <c:cat>
            <c:strRef>
              <c:f>'5 Year Trend'!$J$4:$N$4</c:f>
              <c:strCache>
                <c:ptCount val="5"/>
                <c:pt idx="0">
                  <c:v>Yr 2022</c:v>
                </c:pt>
                <c:pt idx="1">
                  <c:v>Yr 2023</c:v>
                </c:pt>
                <c:pt idx="2">
                  <c:v>Yr 2024</c:v>
                </c:pt>
                <c:pt idx="3">
                  <c:v>Yr 2025</c:v>
                </c:pt>
                <c:pt idx="4">
                  <c:v>Yr 2026</c:v>
                </c:pt>
              </c:strCache>
            </c:strRef>
          </c:cat>
          <c:val>
            <c:numRef>
              <c:f>'5 Year Trend'!$J$7:$N$7</c:f>
              <c:numCache>
                <c:formatCode>General</c:formatCode>
                <c:ptCount val="5"/>
                <c:pt idx="0">
                  <c:v>51.92</c:v>
                </c:pt>
                <c:pt idx="1">
                  <c:v>51.26</c:v>
                </c:pt>
                <c:pt idx="2">
                  <c:v>52.89</c:v>
                </c:pt>
                <c:pt idx="3">
                  <c:v>55.86</c:v>
                </c:pt>
                <c:pt idx="4">
                  <c:v>57.72</c:v>
                </c:pt>
              </c:numCache>
            </c:numRef>
          </c:val>
          <c:smooth val="0"/>
          <c:extLst>
            <c:ext xmlns:c16="http://schemas.microsoft.com/office/drawing/2014/chart" uri="{C3380CC4-5D6E-409C-BE32-E72D297353CC}">
              <c16:uniqueId val="{00000002-3572-43DA-91CD-7E7B0C7C6422}"/>
            </c:ext>
          </c:extLst>
        </c:ser>
        <c:ser>
          <c:idx val="3"/>
          <c:order val="3"/>
          <c:tx>
            <c:strRef>
              <c:f>'5 Year Trend'!$I$8</c:f>
              <c:strCache>
                <c:ptCount val="1"/>
                <c:pt idx="0">
                  <c:v>Lufthansa Group</c:v>
                </c:pt>
              </c:strCache>
            </c:strRef>
          </c:tx>
          <c:spPr>
            <a:ln w="28575" cap="rnd">
              <a:solidFill>
                <a:schemeClr val="accent4"/>
              </a:solidFill>
              <a:round/>
            </a:ln>
            <a:effectLst/>
          </c:spPr>
          <c:marker>
            <c:symbol val="none"/>
          </c:marker>
          <c:cat>
            <c:strRef>
              <c:f>'5 Year Trend'!$J$4:$N$4</c:f>
              <c:strCache>
                <c:ptCount val="5"/>
                <c:pt idx="0">
                  <c:v>Yr 2022</c:v>
                </c:pt>
                <c:pt idx="1">
                  <c:v>Yr 2023</c:v>
                </c:pt>
                <c:pt idx="2">
                  <c:v>Yr 2024</c:v>
                </c:pt>
                <c:pt idx="3">
                  <c:v>Yr 2025</c:v>
                </c:pt>
                <c:pt idx="4">
                  <c:v>Yr 2026</c:v>
                </c:pt>
              </c:strCache>
            </c:strRef>
          </c:cat>
          <c:val>
            <c:numRef>
              <c:f>'5 Year Trend'!$J$8:$N$8</c:f>
              <c:numCache>
                <c:formatCode>General</c:formatCode>
                <c:ptCount val="5"/>
                <c:pt idx="0">
                  <c:v>35.08</c:v>
                </c:pt>
                <c:pt idx="1">
                  <c:v>37.22</c:v>
                </c:pt>
                <c:pt idx="2">
                  <c:v>38.619999999999997</c:v>
                </c:pt>
                <c:pt idx="3">
                  <c:v>43.34</c:v>
                </c:pt>
                <c:pt idx="4">
                  <c:v>45.43</c:v>
                </c:pt>
              </c:numCache>
            </c:numRef>
          </c:val>
          <c:smooth val="0"/>
          <c:extLst>
            <c:ext xmlns:c16="http://schemas.microsoft.com/office/drawing/2014/chart" uri="{C3380CC4-5D6E-409C-BE32-E72D297353CC}">
              <c16:uniqueId val="{00000003-3572-43DA-91CD-7E7B0C7C6422}"/>
            </c:ext>
          </c:extLst>
        </c:ser>
        <c:ser>
          <c:idx val="4"/>
          <c:order val="4"/>
          <c:tx>
            <c:strRef>
              <c:f>'5 Year Trend'!$I$9</c:f>
              <c:strCache>
                <c:ptCount val="1"/>
                <c:pt idx="0">
                  <c:v>Air France-KLM</c:v>
                </c:pt>
              </c:strCache>
            </c:strRef>
          </c:tx>
          <c:spPr>
            <a:ln w="28575" cap="rnd">
              <a:solidFill>
                <a:schemeClr val="accent5"/>
              </a:solidFill>
              <a:round/>
            </a:ln>
            <a:effectLst/>
          </c:spPr>
          <c:marker>
            <c:symbol val="none"/>
          </c:marker>
          <c:cat>
            <c:strRef>
              <c:f>'5 Year Trend'!$J$4:$N$4</c:f>
              <c:strCache>
                <c:ptCount val="5"/>
                <c:pt idx="0">
                  <c:v>Yr 2022</c:v>
                </c:pt>
                <c:pt idx="1">
                  <c:v>Yr 2023</c:v>
                </c:pt>
                <c:pt idx="2">
                  <c:v>Yr 2024</c:v>
                </c:pt>
                <c:pt idx="3">
                  <c:v>Yr 2025</c:v>
                </c:pt>
                <c:pt idx="4">
                  <c:v>Yr 2026</c:v>
                </c:pt>
              </c:strCache>
            </c:strRef>
          </c:cat>
          <c:val>
            <c:numRef>
              <c:f>'5 Year Trend'!$J$9:$N$9</c:f>
              <c:numCache>
                <c:formatCode>General</c:formatCode>
                <c:ptCount val="5"/>
                <c:pt idx="0">
                  <c:v>28.11</c:v>
                </c:pt>
                <c:pt idx="1">
                  <c:v>32.479999999999997</c:v>
                </c:pt>
                <c:pt idx="2">
                  <c:v>33.770000000000003</c:v>
                </c:pt>
                <c:pt idx="3">
                  <c:v>38</c:v>
                </c:pt>
                <c:pt idx="4">
                  <c:v>38.729999999999997</c:v>
                </c:pt>
              </c:numCache>
            </c:numRef>
          </c:val>
          <c:smooth val="0"/>
          <c:extLst>
            <c:ext xmlns:c16="http://schemas.microsoft.com/office/drawing/2014/chart" uri="{C3380CC4-5D6E-409C-BE32-E72D297353CC}">
              <c16:uniqueId val="{00000004-3572-43DA-91CD-7E7B0C7C6422}"/>
            </c:ext>
          </c:extLst>
        </c:ser>
        <c:dLbls>
          <c:showLegendKey val="0"/>
          <c:showVal val="0"/>
          <c:showCatName val="0"/>
          <c:showSerName val="0"/>
          <c:showPercent val="0"/>
          <c:showBubbleSize val="0"/>
        </c:dLbls>
        <c:upDownBars>
          <c:gapWidth val="150"/>
          <c:upBars>
            <c:spPr>
              <a:solidFill>
                <a:schemeClr val="lt1"/>
              </a:solidFill>
              <a:ln w="9525">
                <a:solidFill>
                  <a:schemeClr val="tx1">
                    <a:lumMod val="15000"/>
                    <a:lumOff val="85000"/>
                  </a:schemeClr>
                </a:solidFill>
              </a:ln>
              <a:effectLst/>
            </c:spPr>
          </c:upBars>
          <c:downBars>
            <c:spPr>
              <a:solidFill>
                <a:schemeClr val="dk1">
                  <a:lumMod val="65000"/>
                  <a:lumOff val="35000"/>
                </a:schemeClr>
              </a:solidFill>
              <a:ln w="9525">
                <a:solidFill>
                  <a:schemeClr val="tx1">
                    <a:lumMod val="65000"/>
                    <a:lumOff val="35000"/>
                  </a:schemeClr>
                </a:solidFill>
              </a:ln>
              <a:effectLst/>
            </c:spPr>
          </c:downBars>
        </c:upDownBars>
        <c:smooth val="0"/>
        <c:axId val="691039968"/>
        <c:axId val="691042432"/>
      </c:lineChart>
      <c:catAx>
        <c:axId val="6910399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691042432"/>
        <c:crosses val="autoZero"/>
        <c:auto val="1"/>
        <c:lblAlgn val="ctr"/>
        <c:lblOffset val="100"/>
        <c:noMultiLvlLbl val="0"/>
      </c:catAx>
      <c:valAx>
        <c:axId val="69104243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6910399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userShapes r:id="rId3"/>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[Airline Performance Dashboard.xlsx]Bus Model!PivotTable4</c:name>
    <c:fmtId val="15"/>
  </c:pivotSource>
  <c:chart>
    <c:autoTitleDeleted val="1"/>
    <c:pivotFmts>
      <c:pivotFmt>
        <c:idx val="0"/>
        <c:spPr>
          <a:solidFill>
            <a:schemeClr val="accent1"/>
          </a:solidFill>
          <a:ln w="19050">
            <a:solidFill>
              <a:schemeClr val="lt1"/>
            </a:solid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11388888888888879"/>
              <c:y val="0.15740740740740725"/>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3"/>
          </a:solidFill>
          <a:ln w="19050">
            <a:solidFill>
              <a:schemeClr val="lt1"/>
            </a:solidFill>
          </a:ln>
          <a:effectLst/>
        </c:spPr>
        <c:dLbl>
          <c:idx val="0"/>
          <c:layout>
            <c:manualLayout>
              <c:x val="-0.2055555555555556"/>
              <c:y val="-6.4814814814814811E-2"/>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w="19050">
            <a:solidFill>
              <a:schemeClr val="lt1"/>
            </a:solidFill>
          </a:ln>
          <a:effectLst/>
        </c:spPr>
        <c:dLbl>
          <c:idx val="0"/>
          <c:layout>
            <c:manualLayout>
              <c:x val="-0.11944444444444446"/>
              <c:y val="3.2407407407407406E-2"/>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0.11388888888888879"/>
              <c:y val="0.15740740740740725"/>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0.11944444444444446"/>
              <c:y val="3.2407407407407406E-2"/>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0.2055555555555556"/>
              <c:y val="-6.4814814814814811E-2"/>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marker>
          <c:symbol val="none"/>
        </c:marker>
        <c:dLbl>
          <c:idx val="0"/>
          <c:numFmt formatCode="#,##0" sourceLinked="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0.11388888888888879"/>
              <c:y val="0.15740740740740725"/>
            </c:manualLayout>
          </c:layout>
          <c:numFmt formatCode="#,##0" sourceLinked="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layout>
            <c:manualLayout>
              <c:x val="-0.1862078391790731"/>
              <c:y val="1.8807867736700561E-2"/>
            </c:manualLayout>
          </c:layout>
          <c:numFmt formatCode="#,##0" sourceLinked="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layout>
            <c:manualLayout>
              <c:x val="-0.2055555555555556"/>
              <c:y val="-6.4814814814814811E-2"/>
            </c:manualLayout>
          </c:layout>
          <c:numFmt formatCode="#,##0" sourceLinked="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280993000874893"/>
          <c:y val="0.25040131524541914"/>
          <c:w val="0.46388888888888891"/>
          <c:h val="0.77314814814814814"/>
        </c:manualLayout>
      </c:layout>
      <c:doughnutChart>
        <c:varyColors val="1"/>
        <c:ser>
          <c:idx val="0"/>
          <c:order val="0"/>
          <c:tx>
            <c:strRef>
              <c:f>'Bus Model'!$B$1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CC2-4371-9CDF-495198B6782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CC2-4371-9CDF-495198B6782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CC2-4371-9CDF-495198B67820}"/>
              </c:ext>
            </c:extLst>
          </c:dPt>
          <c:dLbls>
            <c:dLbl>
              <c:idx val="0"/>
              <c:layout>
                <c:manualLayout>
                  <c:x val="0.11388888888888879"/>
                  <c:y val="0.1574074074074072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CC2-4371-9CDF-495198B67820}"/>
                </c:ext>
              </c:extLst>
            </c:dLbl>
            <c:dLbl>
              <c:idx val="1"/>
              <c:layout>
                <c:manualLayout>
                  <c:x val="-0.1862078391790731"/>
                  <c:y val="1.880786773670056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CC2-4371-9CDF-495198B67820}"/>
                </c:ext>
              </c:extLst>
            </c:dLbl>
            <c:dLbl>
              <c:idx val="2"/>
              <c:layout>
                <c:manualLayout>
                  <c:x val="-0.2055555555555556"/>
                  <c:y val="-6.481481481481481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0CC2-4371-9CDF-495198B67820}"/>
                </c:ext>
              </c:extLst>
            </c:dLbl>
            <c:numFmt formatCode="#,##0" sourceLinked="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'Bus Model'!$A$2:$A$5</c:f>
              <c:strCache>
                <c:ptCount val="3"/>
                <c:pt idx="0">
                  <c:v>legacy</c:v>
                </c:pt>
                <c:pt idx="1">
                  <c:v>low_cost</c:v>
                </c:pt>
                <c:pt idx="2">
                  <c:v>regional</c:v>
                </c:pt>
              </c:strCache>
            </c:strRef>
          </c:cat>
          <c:val>
            <c:numRef>
              <c:f>'Bus Model'!$B$2:$B$5</c:f>
              <c:numCache>
                <c:formatCode>_(* #,##0.00_);_(* \(#,##0.00\);_(* "-"??_);_(@_)</c:formatCode>
                <c:ptCount val="3"/>
                <c:pt idx="0">
                  <c:v>3885.1000000000008</c:v>
                </c:pt>
                <c:pt idx="1">
                  <c:v>1566.8999999999992</c:v>
                </c:pt>
                <c:pt idx="2">
                  <c:v>164.29999999999998</c:v>
                </c:pt>
              </c:numCache>
            </c:numRef>
          </c:val>
          <c:extLst>
            <c:ext xmlns:c16="http://schemas.microsoft.com/office/drawing/2014/chart" uri="{C3380CC4-5D6E-409C-BE32-E72D297353CC}">
              <c16:uniqueId val="{00000006-0CC2-4371-9CDF-495198B67820}"/>
            </c:ext>
          </c:extLst>
        </c:ser>
        <c:dLbls>
          <c:showLegendKey val="0"/>
          <c:showVal val="0"/>
          <c:showCatName val="0"/>
          <c:showSerName val="0"/>
          <c:showPercent val="0"/>
          <c:showBubbleSize val="0"/>
          <c:showLeaderLines val="1"/>
        </c:dLbls>
        <c:firstSliceAng val="0"/>
        <c:holeSize val="5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[Airline Performance Dashboard.xlsx]Passenger!PivotTable16</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_(* #,##0_);_(* \(#,##0\);_(* &quot;-&quot;_);_(@_)" sourceLinked="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327602799650043"/>
          <c:y val="0.15555560999321436"/>
          <c:w val="0.64919138232720908"/>
          <c:h val="0.7639187275306133"/>
        </c:manualLayout>
      </c:layout>
      <c:barChart>
        <c:barDir val="bar"/>
        <c:grouping val="clustered"/>
        <c:varyColors val="0"/>
        <c:ser>
          <c:idx val="0"/>
          <c:order val="0"/>
          <c:tx>
            <c:strRef>
              <c:f>Passenger!$B$2</c:f>
              <c:strCache>
                <c:ptCount val="1"/>
                <c:pt idx="0">
                  <c:v>Total</c:v>
                </c:pt>
              </c:strCache>
            </c:strRef>
          </c:tx>
          <c:spPr>
            <a:solidFill>
              <a:schemeClr val="accent1"/>
            </a:solidFill>
            <a:ln>
              <a:noFill/>
            </a:ln>
            <a:effectLst/>
          </c:spPr>
          <c:invertIfNegative val="0"/>
          <c:dLbls>
            <c:numFmt formatCode="_(* #,##0_);_(* \(#,##0\);_(* &quot;-&quot;_);_(@_)" sourceLinked="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Passenger!$A$3:$A$8</c:f>
              <c:strCache>
                <c:ptCount val="5"/>
                <c:pt idx="0">
                  <c:v>Latin America</c:v>
                </c:pt>
                <c:pt idx="1">
                  <c:v>Middle East</c:v>
                </c:pt>
                <c:pt idx="2">
                  <c:v>Asia</c:v>
                </c:pt>
                <c:pt idx="3">
                  <c:v>Europe</c:v>
                </c:pt>
                <c:pt idx="4">
                  <c:v>North America</c:v>
                </c:pt>
              </c:strCache>
            </c:strRef>
          </c:cat>
          <c:val>
            <c:numRef>
              <c:f>Passenger!$B$3:$B$8</c:f>
              <c:numCache>
                <c:formatCode>General</c:formatCode>
                <c:ptCount val="5"/>
                <c:pt idx="0">
                  <c:v>172.8</c:v>
                </c:pt>
                <c:pt idx="1">
                  <c:v>521</c:v>
                </c:pt>
                <c:pt idx="2">
                  <c:v>1223.9999999999998</c:v>
                </c:pt>
                <c:pt idx="3">
                  <c:v>1510.4999999999998</c:v>
                </c:pt>
                <c:pt idx="4">
                  <c:v>2188</c:v>
                </c:pt>
              </c:numCache>
            </c:numRef>
          </c:val>
          <c:extLst>
            <c:ext xmlns:c16="http://schemas.microsoft.com/office/drawing/2014/chart" uri="{C3380CC4-5D6E-409C-BE32-E72D297353CC}">
              <c16:uniqueId val="{00000000-2899-4CE4-B999-8D95D6440E86}"/>
            </c:ext>
          </c:extLst>
        </c:ser>
        <c:dLbls>
          <c:showLegendKey val="0"/>
          <c:showVal val="0"/>
          <c:showCatName val="0"/>
          <c:showSerName val="0"/>
          <c:showPercent val="0"/>
          <c:showBubbleSize val="0"/>
        </c:dLbls>
        <c:gapWidth val="182"/>
        <c:axId val="691067072"/>
        <c:axId val="691067424"/>
      </c:barChart>
      <c:catAx>
        <c:axId val="6910670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691067424"/>
        <c:crosses val="autoZero"/>
        <c:auto val="1"/>
        <c:lblAlgn val="ctr"/>
        <c:lblOffset val="100"/>
        <c:noMultiLvlLbl val="0"/>
      </c:catAx>
      <c:valAx>
        <c:axId val="691067424"/>
        <c:scaling>
          <c:orientation val="minMax"/>
        </c:scaling>
        <c:delete val="1"/>
        <c:axPos val="b"/>
        <c:numFmt formatCode="General" sourceLinked="1"/>
        <c:majorTickMark val="none"/>
        <c:minorTickMark val="none"/>
        <c:tickLblPos val="nextTo"/>
        <c:crossAx val="6910670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3.xml"/></Relationships>
</file>

<file path=xl/drawings/_rels/drawing7.xml.rels><?xml version="1.0" encoding="UTF-8" standalone="yes"?>
<Relationships xmlns="http://schemas.openxmlformats.org/package/2006/relationships"><Relationship Id="rId1" Type="http://schemas.openxmlformats.org/officeDocument/2006/relationships/chart" Target="../charts/chart4.xml"/></Relationships>
</file>

<file path=xl/drawings/_rels/drawing9.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11.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3</xdr:col>
      <xdr:colOff>50007</xdr:colOff>
      <xdr:row>3</xdr:row>
      <xdr:rowOff>9526</xdr:rowOff>
    </xdr:from>
    <xdr:to>
      <xdr:col>7</xdr:col>
      <xdr:colOff>338137</xdr:colOff>
      <xdr:row>14</xdr:row>
      <xdr:rowOff>76201</xdr:rowOff>
    </xdr:to>
    <xdr:graphicFrame macro="">
      <xdr:nvGraphicFramePr>
        <xdr:cNvPr id="4" name="Chart 3">
          <a:extLst>
            <a:ext uri="{FF2B5EF4-FFF2-40B4-BE49-F238E27FC236}">
              <a16:creationId xmlns:a16="http://schemas.microsoft.com/office/drawing/2014/main" id="{AE3A297E-AF37-0974-E575-EEF91AC5AAE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0.19768</cdr:x>
      <cdr:y>0.04511</cdr:y>
    </cdr:from>
    <cdr:to>
      <cdr:x>0.93383</cdr:x>
      <cdr:y>0.16729</cdr:y>
    </cdr:to>
    <cdr:sp macro="" textlink="">
      <cdr:nvSpPr>
        <cdr:cNvPr id="4" name="Rectangle: Rounded Corners 3">
          <a:extLst xmlns:a="http://schemas.openxmlformats.org/drawingml/2006/main">
            <a:ext uri="{FF2B5EF4-FFF2-40B4-BE49-F238E27FC236}">
              <a16:creationId xmlns:a16="http://schemas.microsoft.com/office/drawing/2014/main" id="{233B1F1A-1250-63D2-70FE-2338F69BBA89}"/>
            </a:ext>
          </a:extLst>
        </cdr:cNvPr>
        <cdr:cNvSpPr/>
      </cdr:nvSpPr>
      <cdr:spPr>
        <a:xfrm xmlns:a="http://schemas.openxmlformats.org/drawingml/2006/main">
          <a:off x="569118" y="92814"/>
          <a:ext cx="2119311" cy="251375"/>
        </a:xfrm>
        <a:prstGeom xmlns:a="http://schemas.openxmlformats.org/drawingml/2006/main" prst="roundRect">
          <a:avLst/>
        </a:prstGeom>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marL="0" indent="0"/>
          <a:r>
            <a:rPr lang="en-GB" sz="1100" kern="1200">
              <a:solidFill>
                <a:schemeClr val="lt1"/>
              </a:solidFill>
              <a:latin typeface="+mn-lt"/>
              <a:ea typeface="+mn-ea"/>
              <a:cs typeface="+mn-cs"/>
            </a:rPr>
            <a:t>Regional Revenue For Top 5 Airline</a:t>
          </a:r>
        </a:p>
      </cdr:txBody>
    </cdr:sp>
  </cdr:relSizeAnchor>
</c:userShapes>
</file>

<file path=xl/drawings/drawing3.xml><?xml version="1.0" encoding="utf-8"?>
<xdr:wsDr xmlns:xdr="http://schemas.openxmlformats.org/drawingml/2006/spreadsheetDrawing" xmlns:a="http://schemas.openxmlformats.org/drawingml/2006/main">
  <xdr:twoCellAnchor>
    <xdr:from>
      <xdr:col>4</xdr:col>
      <xdr:colOff>297656</xdr:colOff>
      <xdr:row>6</xdr:row>
      <xdr:rowOff>133352</xdr:rowOff>
    </xdr:from>
    <xdr:to>
      <xdr:col>7</xdr:col>
      <xdr:colOff>623888</xdr:colOff>
      <xdr:row>19</xdr:row>
      <xdr:rowOff>90489</xdr:rowOff>
    </xdr:to>
    <xdr:graphicFrame macro="">
      <xdr:nvGraphicFramePr>
        <xdr:cNvPr id="4" name="Chart 3">
          <a:extLst>
            <a:ext uri="{FF2B5EF4-FFF2-40B4-BE49-F238E27FC236}">
              <a16:creationId xmlns:a16="http://schemas.microsoft.com/office/drawing/2014/main" id="{DBB1A573-9763-52A9-4FCE-54100CA8C03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c:userShapes xmlns:c="http://schemas.openxmlformats.org/drawingml/2006/chart">
  <cdr:relSizeAnchor xmlns:cdr="http://schemas.openxmlformats.org/drawingml/2006/chartDrawing">
    <cdr:from>
      <cdr:x>0.18594</cdr:x>
      <cdr:y>0.0179</cdr:y>
    </cdr:from>
    <cdr:to>
      <cdr:x>0.85365</cdr:x>
      <cdr:y>0.12381</cdr:y>
    </cdr:to>
    <cdr:sp macro="" textlink="">
      <cdr:nvSpPr>
        <cdr:cNvPr id="2" name="Rectangle: Rounded Corners 1">
          <a:extLst xmlns:a="http://schemas.openxmlformats.org/drawingml/2006/main">
            <a:ext uri="{FF2B5EF4-FFF2-40B4-BE49-F238E27FC236}">
              <a16:creationId xmlns:a16="http://schemas.microsoft.com/office/drawing/2014/main" id="{CDEEB5D9-B74B-6C47-8678-D51FAA86B12E}"/>
            </a:ext>
          </a:extLst>
        </cdr:cNvPr>
        <cdr:cNvSpPr/>
      </cdr:nvSpPr>
      <cdr:spPr>
        <a:xfrm xmlns:a="http://schemas.openxmlformats.org/drawingml/2006/main">
          <a:off x="850107" y="56530"/>
          <a:ext cx="3052763" cy="334392"/>
        </a:xfrm>
        <a:prstGeom xmlns:a="http://schemas.openxmlformats.org/drawingml/2006/main" prst="roundRect">
          <a:avLst/>
        </a:prstGeom>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r>
            <a:rPr lang="en-GB" kern="1200"/>
            <a:t>Revenue Vs Operation Revenue For Top 5 Airline</a:t>
          </a:r>
        </a:p>
      </cdr:txBody>
    </cdr:sp>
  </cdr:relSizeAnchor>
</c:userShapes>
</file>

<file path=xl/drawings/drawing5.xml><?xml version="1.0" encoding="utf-8"?>
<xdr:wsDr xmlns:xdr="http://schemas.openxmlformats.org/drawingml/2006/spreadsheetDrawing" xmlns:a="http://schemas.openxmlformats.org/drawingml/2006/main">
  <xdr:twoCellAnchor>
    <xdr:from>
      <xdr:col>7</xdr:col>
      <xdr:colOff>378617</xdr:colOff>
      <xdr:row>1</xdr:row>
      <xdr:rowOff>90488</xdr:rowOff>
    </xdr:from>
    <xdr:to>
      <xdr:col>14</xdr:col>
      <xdr:colOff>416717</xdr:colOff>
      <xdr:row>17</xdr:row>
      <xdr:rowOff>52387</xdr:rowOff>
    </xdr:to>
    <xdr:graphicFrame macro="">
      <xdr:nvGraphicFramePr>
        <xdr:cNvPr id="11" name="Chart 10">
          <a:extLst>
            <a:ext uri="{FF2B5EF4-FFF2-40B4-BE49-F238E27FC236}">
              <a16:creationId xmlns:a16="http://schemas.microsoft.com/office/drawing/2014/main" id="{DE5C5D1F-6E6C-FA76-5F39-B6841F75B45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c:userShapes xmlns:c="http://schemas.openxmlformats.org/drawingml/2006/chart">
  <cdr:relSizeAnchor xmlns:cdr="http://schemas.openxmlformats.org/drawingml/2006/chartDrawing">
    <cdr:from>
      <cdr:x>0.26927</cdr:x>
      <cdr:y>0.04333</cdr:y>
    </cdr:from>
    <cdr:to>
      <cdr:x>0.72552</cdr:x>
      <cdr:y>0.14056</cdr:y>
    </cdr:to>
    <cdr:sp macro="" textlink="">
      <cdr:nvSpPr>
        <cdr:cNvPr id="2" name="Rectangle: Rounded Corners 1">
          <a:extLst xmlns:a="http://schemas.openxmlformats.org/drawingml/2006/main">
            <a:ext uri="{FF2B5EF4-FFF2-40B4-BE49-F238E27FC236}">
              <a16:creationId xmlns:a16="http://schemas.microsoft.com/office/drawing/2014/main" id="{64DF6CB2-0192-B509-C4A9-488D41EF74B4}"/>
            </a:ext>
          </a:extLst>
        </cdr:cNvPr>
        <cdr:cNvSpPr/>
      </cdr:nvSpPr>
      <cdr:spPr>
        <a:xfrm xmlns:a="http://schemas.openxmlformats.org/drawingml/2006/main">
          <a:off x="1231107" y="123825"/>
          <a:ext cx="2085975" cy="277813"/>
        </a:xfrm>
        <a:prstGeom xmlns:a="http://schemas.openxmlformats.org/drawingml/2006/main" prst="roundRect">
          <a:avLst/>
        </a:prstGeom>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r>
            <a:rPr lang="en-GB" b="1" kern="1200">
              <a:solidFill>
                <a:schemeClr val="bg1"/>
              </a:solidFill>
            </a:rPr>
            <a:t>              Passenger By Region</a:t>
          </a:r>
        </a:p>
      </cdr:txBody>
    </cdr:sp>
  </cdr:relSizeAnchor>
</c:userShapes>
</file>

<file path=xl/drawings/drawing7.xml><?xml version="1.0" encoding="utf-8"?>
<xdr:wsDr xmlns:xdr="http://schemas.openxmlformats.org/drawingml/2006/spreadsheetDrawing" xmlns:a="http://schemas.openxmlformats.org/drawingml/2006/main">
  <xdr:twoCellAnchor>
    <xdr:from>
      <xdr:col>2</xdr:col>
      <xdr:colOff>326231</xdr:colOff>
      <xdr:row>1</xdr:row>
      <xdr:rowOff>71437</xdr:rowOff>
    </xdr:from>
    <xdr:to>
      <xdr:col>9</xdr:col>
      <xdr:colOff>531019</xdr:colOff>
      <xdr:row>17</xdr:row>
      <xdr:rowOff>114300</xdr:rowOff>
    </xdr:to>
    <xdr:graphicFrame macro="">
      <xdr:nvGraphicFramePr>
        <xdr:cNvPr id="5" name="Chart 4">
          <a:extLst>
            <a:ext uri="{FF2B5EF4-FFF2-40B4-BE49-F238E27FC236}">
              <a16:creationId xmlns:a16="http://schemas.microsoft.com/office/drawing/2014/main" id="{43BE7338-7C94-CA8B-C26E-F019111E406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c:userShapes xmlns:c="http://schemas.openxmlformats.org/drawingml/2006/chart">
  <cdr:relSizeAnchor xmlns:cdr="http://schemas.openxmlformats.org/drawingml/2006/chartDrawing">
    <cdr:from>
      <cdr:x>0.22135</cdr:x>
      <cdr:y>0.03901</cdr:y>
    </cdr:from>
    <cdr:to>
      <cdr:x>0.80885</cdr:x>
      <cdr:y>0.15721</cdr:y>
    </cdr:to>
    <cdr:sp macro="" textlink="">
      <cdr:nvSpPr>
        <cdr:cNvPr id="2" name="Rectangle: Rounded Corners 1">
          <a:extLst xmlns:a="http://schemas.openxmlformats.org/drawingml/2006/main">
            <a:ext uri="{FF2B5EF4-FFF2-40B4-BE49-F238E27FC236}">
              <a16:creationId xmlns:a16="http://schemas.microsoft.com/office/drawing/2014/main" id="{8CADAFF4-779F-F425-6B13-4056E5DF0B87}"/>
            </a:ext>
          </a:extLst>
        </cdr:cNvPr>
        <cdr:cNvSpPr/>
      </cdr:nvSpPr>
      <cdr:spPr>
        <a:xfrm xmlns:a="http://schemas.openxmlformats.org/drawingml/2006/main">
          <a:off x="1012031" y="114640"/>
          <a:ext cx="2686050" cy="347323"/>
        </a:xfrm>
        <a:prstGeom xmlns:a="http://schemas.openxmlformats.org/drawingml/2006/main" prst="roundRect">
          <a:avLst/>
        </a:prstGeom>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ctr"/>
          <a:r>
            <a:rPr lang="en-GB" kern="1200"/>
            <a:t>Revenue By</a:t>
          </a:r>
          <a:r>
            <a:rPr lang="en-GB" kern="1200" baseline="0"/>
            <a:t> Business Model</a:t>
          </a:r>
          <a:endParaRPr lang="en-GB" kern="1200"/>
        </a:p>
      </cdr:txBody>
    </cdr:sp>
  </cdr:relSizeAnchor>
</c:userShapes>
</file>

<file path=xl/drawings/drawing9.xml><?xml version="1.0" encoding="utf-8"?>
<xdr:wsDr xmlns:xdr="http://schemas.openxmlformats.org/drawingml/2006/spreadsheetDrawing" xmlns:a="http://schemas.openxmlformats.org/drawingml/2006/main">
  <xdr:twoCellAnchor>
    <xdr:from>
      <xdr:col>19</xdr:col>
      <xdr:colOff>431005</xdr:colOff>
      <xdr:row>2</xdr:row>
      <xdr:rowOff>133350</xdr:rowOff>
    </xdr:from>
    <xdr:to>
      <xdr:col>23</xdr:col>
      <xdr:colOff>792955</xdr:colOff>
      <xdr:row>16</xdr:row>
      <xdr:rowOff>161925</xdr:rowOff>
    </xdr:to>
    <xdr:graphicFrame macro="">
      <xdr:nvGraphicFramePr>
        <xdr:cNvPr id="3" name="Chart 2">
          <a:extLst>
            <a:ext uri="{FF2B5EF4-FFF2-40B4-BE49-F238E27FC236}">
              <a16:creationId xmlns:a16="http://schemas.microsoft.com/office/drawing/2014/main" id="{B7AFDD51-3006-4031-8B4C-ECF078324F4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164305</xdr:colOff>
      <xdr:row>10</xdr:row>
      <xdr:rowOff>152400</xdr:rowOff>
    </xdr:from>
    <xdr:to>
      <xdr:col>10</xdr:col>
      <xdr:colOff>421480</xdr:colOff>
      <xdr:row>26</xdr:row>
      <xdr:rowOff>0</xdr:rowOff>
    </xdr:to>
    <xdr:graphicFrame macro="">
      <xdr:nvGraphicFramePr>
        <xdr:cNvPr id="6" name="Chart 5">
          <a:extLst>
            <a:ext uri="{FF2B5EF4-FFF2-40B4-BE49-F238E27FC236}">
              <a16:creationId xmlns:a16="http://schemas.microsoft.com/office/drawing/2014/main" id="{B17A36D8-ED0F-52FB-AB8F-794AE1DBADF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0.xml><?xml version="1.0" encoding="utf-8"?>
<c:userShapes xmlns:c="http://schemas.openxmlformats.org/drawingml/2006/chart">
  <cdr:relSizeAnchor xmlns:cdr="http://schemas.openxmlformats.org/drawingml/2006/chartDrawing">
    <cdr:from>
      <cdr:x>0.22552</cdr:x>
      <cdr:y>0.01563</cdr:y>
    </cdr:from>
    <cdr:to>
      <cdr:x>0.7599</cdr:x>
      <cdr:y>0.10243</cdr:y>
    </cdr:to>
    <cdr:sp macro="" textlink="">
      <cdr:nvSpPr>
        <cdr:cNvPr id="2" name="Rectangle: Rounded Corners 1">
          <a:extLst xmlns:a="http://schemas.openxmlformats.org/drawingml/2006/main">
            <a:ext uri="{FF2B5EF4-FFF2-40B4-BE49-F238E27FC236}">
              <a16:creationId xmlns:a16="http://schemas.microsoft.com/office/drawing/2014/main" id="{45E7E634-FAF0-ED67-AEB8-D1767595290E}"/>
            </a:ext>
          </a:extLst>
        </cdr:cNvPr>
        <cdr:cNvSpPr/>
      </cdr:nvSpPr>
      <cdr:spPr>
        <a:xfrm xmlns:a="http://schemas.openxmlformats.org/drawingml/2006/main">
          <a:off x="1031082" y="42863"/>
          <a:ext cx="2443163" cy="238126"/>
        </a:xfrm>
        <a:prstGeom xmlns:a="http://schemas.openxmlformats.org/drawingml/2006/main" prst="roundRect">
          <a:avLst/>
        </a:prstGeom>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r>
            <a:rPr lang="en-GB" kern="1200"/>
            <a:t>5 Yeear</a:t>
          </a:r>
          <a:r>
            <a:rPr lang="en-GB" kern="1200" baseline="0"/>
            <a:t> </a:t>
          </a:r>
          <a:r>
            <a:rPr lang="en-GB" kern="1200"/>
            <a:t>Revenue</a:t>
          </a:r>
          <a:r>
            <a:rPr lang="en-GB" kern="1200" baseline="0"/>
            <a:t> Trend For Top 5 Airline</a:t>
          </a:r>
        </a:p>
        <a:p xmlns:a="http://schemas.openxmlformats.org/drawingml/2006/main">
          <a:endParaRPr lang="en-GB" kern="1200"/>
        </a:p>
      </cdr:txBody>
    </cdr:sp>
  </cdr:relSizeAnchor>
</c:userShapes>
</file>

<file path=xl/drawings/drawing11.xml><?xml version="1.0" encoding="utf-8"?>
<xdr:wsDr xmlns:xdr="http://schemas.openxmlformats.org/drawingml/2006/spreadsheetDrawing" xmlns:a="http://schemas.openxmlformats.org/drawingml/2006/main">
  <xdr:twoCellAnchor>
    <xdr:from>
      <xdr:col>0</xdr:col>
      <xdr:colOff>248708</xdr:colOff>
      <xdr:row>0</xdr:row>
      <xdr:rowOff>0</xdr:rowOff>
    </xdr:from>
    <xdr:to>
      <xdr:col>14</xdr:col>
      <xdr:colOff>534457</xdr:colOff>
      <xdr:row>27</xdr:row>
      <xdr:rowOff>174625</xdr:rowOff>
    </xdr:to>
    <xdr:sp macro="" textlink="">
      <xdr:nvSpPr>
        <xdr:cNvPr id="2" name="Rectangle 1">
          <a:extLst>
            <a:ext uri="{FF2B5EF4-FFF2-40B4-BE49-F238E27FC236}">
              <a16:creationId xmlns:a16="http://schemas.microsoft.com/office/drawing/2014/main" id="{30B2E1E0-692F-6C96-6ADC-12A9EC0FEA38}"/>
            </a:ext>
          </a:extLst>
        </xdr:cNvPr>
        <xdr:cNvSpPr/>
      </xdr:nvSpPr>
      <xdr:spPr>
        <a:xfrm>
          <a:off x="248708" y="0"/>
          <a:ext cx="8842375" cy="5032375"/>
        </a:xfrm>
        <a:prstGeom prst="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5</xdr:col>
      <xdr:colOff>78686</xdr:colOff>
      <xdr:row>5</xdr:row>
      <xdr:rowOff>74539</xdr:rowOff>
    </xdr:from>
    <xdr:to>
      <xdr:col>9</xdr:col>
      <xdr:colOff>20706</xdr:colOff>
      <xdr:row>15</xdr:row>
      <xdr:rowOff>103533</xdr:rowOff>
    </xdr:to>
    <xdr:graphicFrame macro="">
      <xdr:nvGraphicFramePr>
        <xdr:cNvPr id="12" name="Chart 11">
          <a:extLst>
            <a:ext uri="{FF2B5EF4-FFF2-40B4-BE49-F238E27FC236}">
              <a16:creationId xmlns:a16="http://schemas.microsoft.com/office/drawing/2014/main" id="{D9CA4924-4E48-4D9C-BCCD-4210C89AAA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28989</xdr:colOff>
      <xdr:row>5</xdr:row>
      <xdr:rowOff>78684</xdr:rowOff>
    </xdr:from>
    <xdr:to>
      <xdr:col>14</xdr:col>
      <xdr:colOff>518582</xdr:colOff>
      <xdr:row>15</xdr:row>
      <xdr:rowOff>107672</xdr:rowOff>
    </xdr:to>
    <xdr:graphicFrame macro="">
      <xdr:nvGraphicFramePr>
        <xdr:cNvPr id="15" name="Chart 14">
          <a:extLst>
            <a:ext uri="{FF2B5EF4-FFF2-40B4-BE49-F238E27FC236}">
              <a16:creationId xmlns:a16="http://schemas.microsoft.com/office/drawing/2014/main" id="{2414E5A1-0739-4F88-B3D6-25C4F9B2D3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184057</xdr:colOff>
      <xdr:row>15</xdr:row>
      <xdr:rowOff>120098</xdr:rowOff>
    </xdr:from>
    <xdr:to>
      <xdr:col>14</xdr:col>
      <xdr:colOff>518582</xdr:colOff>
      <xdr:row>27</xdr:row>
      <xdr:rowOff>153458</xdr:rowOff>
    </xdr:to>
    <xdr:graphicFrame macro="">
      <xdr:nvGraphicFramePr>
        <xdr:cNvPr id="17" name="Chart 16">
          <a:extLst>
            <a:ext uri="{FF2B5EF4-FFF2-40B4-BE49-F238E27FC236}">
              <a16:creationId xmlns:a16="http://schemas.microsoft.com/office/drawing/2014/main" id="{A8771569-F344-4263-8F62-3FC72E31CC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99391</xdr:colOff>
      <xdr:row>15</xdr:row>
      <xdr:rowOff>112964</xdr:rowOff>
    </xdr:from>
    <xdr:to>
      <xdr:col>8</xdr:col>
      <xdr:colOff>185209</xdr:colOff>
      <xdr:row>27</xdr:row>
      <xdr:rowOff>153458</xdr:rowOff>
    </xdr:to>
    <xdr:graphicFrame macro="">
      <xdr:nvGraphicFramePr>
        <xdr:cNvPr id="18" name="Chart 17">
          <a:extLst>
            <a:ext uri="{FF2B5EF4-FFF2-40B4-BE49-F238E27FC236}">
              <a16:creationId xmlns:a16="http://schemas.microsoft.com/office/drawing/2014/main" id="{62DC38F0-F81E-4CE8-BF46-5AB9E4B5E7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0</xdr:colOff>
      <xdr:row>15</xdr:row>
      <xdr:rowOff>100541</xdr:rowOff>
    </xdr:from>
    <xdr:to>
      <xdr:col>5</xdr:col>
      <xdr:colOff>105834</xdr:colOff>
      <xdr:row>27</xdr:row>
      <xdr:rowOff>153458</xdr:rowOff>
    </xdr:to>
    <xdr:graphicFrame macro="">
      <xdr:nvGraphicFramePr>
        <xdr:cNvPr id="19" name="Chart 18">
          <a:extLst>
            <a:ext uri="{FF2B5EF4-FFF2-40B4-BE49-F238E27FC236}">
              <a16:creationId xmlns:a16="http://schemas.microsoft.com/office/drawing/2014/main" id="{3D7F5B84-D130-4321-A766-9C8AB00782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418042</xdr:colOff>
      <xdr:row>2</xdr:row>
      <xdr:rowOff>42335</xdr:rowOff>
    </xdr:from>
    <xdr:to>
      <xdr:col>11</xdr:col>
      <xdr:colOff>354542</xdr:colOff>
      <xdr:row>5</xdr:row>
      <xdr:rowOff>28301</xdr:rowOff>
    </xdr:to>
    <xdr:sp macro="" textlink="">
      <xdr:nvSpPr>
        <xdr:cNvPr id="21" name="Oval 20">
          <a:extLst>
            <a:ext uri="{FF2B5EF4-FFF2-40B4-BE49-F238E27FC236}">
              <a16:creationId xmlns:a16="http://schemas.microsoft.com/office/drawing/2014/main" id="{4F2CF82F-9766-C370-BC79-F8653D7EC4FF}"/>
            </a:ext>
          </a:extLst>
        </xdr:cNvPr>
        <xdr:cNvSpPr/>
      </xdr:nvSpPr>
      <xdr:spPr>
        <a:xfrm>
          <a:off x="5191125" y="402168"/>
          <a:ext cx="1873250" cy="525716"/>
        </a:xfrm>
        <a:prstGeom prst="ellips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800" b="1">
              <a:latin typeface="Arial" panose="020B0604020202020204" pitchFamily="34" charset="0"/>
              <a:cs typeface="Arial" panose="020B0604020202020204" pitchFamily="34" charset="0"/>
            </a:rPr>
            <a:t>Total Operating Income</a:t>
          </a:r>
        </a:p>
      </xdr:txBody>
    </xdr:sp>
    <xdr:clientData/>
  </xdr:twoCellAnchor>
  <xdr:twoCellAnchor>
    <xdr:from>
      <xdr:col>12</xdr:col>
      <xdr:colOff>19325</xdr:colOff>
      <xdr:row>2</xdr:row>
      <xdr:rowOff>58439</xdr:rowOff>
    </xdr:from>
    <xdr:to>
      <xdr:col>14</xdr:col>
      <xdr:colOff>399174</xdr:colOff>
      <xdr:row>5</xdr:row>
      <xdr:rowOff>37732</xdr:rowOff>
    </xdr:to>
    <xdr:sp macro="" textlink="Sheet1!C11">
      <xdr:nvSpPr>
        <xdr:cNvPr id="23" name="Oval 22">
          <a:extLst>
            <a:ext uri="{FF2B5EF4-FFF2-40B4-BE49-F238E27FC236}">
              <a16:creationId xmlns:a16="http://schemas.microsoft.com/office/drawing/2014/main" id="{3BC898C4-100B-2D27-13A9-BF0BA3D7CDA0}"/>
            </a:ext>
          </a:extLst>
        </xdr:cNvPr>
        <xdr:cNvSpPr/>
      </xdr:nvSpPr>
      <xdr:spPr>
        <a:xfrm>
          <a:off x="7374742" y="418272"/>
          <a:ext cx="1581058" cy="519043"/>
        </a:xfrm>
        <a:prstGeom prst="ellips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GB" sz="800" b="1">
            <a:solidFill>
              <a:schemeClr val="bg1"/>
            </a:solidFill>
            <a:latin typeface="Arial" panose="020B0604020202020204" pitchFamily="34" charset="0"/>
            <a:cs typeface="Arial" panose="020B0604020202020204" pitchFamily="34" charset="0"/>
          </a:endParaRPr>
        </a:p>
      </xdr:txBody>
    </xdr:sp>
    <xdr:clientData/>
  </xdr:twoCellAnchor>
  <xdr:twoCellAnchor>
    <xdr:from>
      <xdr:col>5</xdr:col>
      <xdr:colOff>402168</xdr:colOff>
      <xdr:row>2</xdr:row>
      <xdr:rowOff>38929</xdr:rowOff>
    </xdr:from>
    <xdr:to>
      <xdr:col>8</xdr:col>
      <xdr:colOff>222249</xdr:colOff>
      <xdr:row>5</xdr:row>
      <xdr:rowOff>18222</xdr:rowOff>
    </xdr:to>
    <xdr:sp macro="" textlink="">
      <xdr:nvSpPr>
        <xdr:cNvPr id="24" name="Oval 23">
          <a:extLst>
            <a:ext uri="{FF2B5EF4-FFF2-40B4-BE49-F238E27FC236}">
              <a16:creationId xmlns:a16="http://schemas.microsoft.com/office/drawing/2014/main" id="{3D1ED5BA-573B-35B4-5F53-35AA1154B0C1}"/>
            </a:ext>
          </a:extLst>
        </xdr:cNvPr>
        <xdr:cNvSpPr/>
      </xdr:nvSpPr>
      <xdr:spPr>
        <a:xfrm>
          <a:off x="3238501" y="398762"/>
          <a:ext cx="1756831" cy="519043"/>
        </a:xfrm>
        <a:prstGeom prst="ellips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800" b="1">
              <a:latin typeface="Arial" panose="020B0604020202020204" pitchFamily="34" charset="0"/>
              <a:cs typeface="Arial" panose="020B0604020202020204" pitchFamily="34" charset="0"/>
            </a:rPr>
            <a:t>Total</a:t>
          </a:r>
          <a:r>
            <a:rPr lang="en-GB" sz="800" b="1" baseline="0">
              <a:latin typeface="Arial" panose="020B0604020202020204" pitchFamily="34" charset="0"/>
              <a:cs typeface="Arial" panose="020B0604020202020204" pitchFamily="34" charset="0"/>
            </a:rPr>
            <a:t>  Global Income                        </a:t>
          </a:r>
          <a:endParaRPr lang="en-GB" sz="800" b="1">
            <a:latin typeface="Arial" panose="020B0604020202020204" pitchFamily="34" charset="0"/>
            <a:cs typeface="Arial" panose="020B0604020202020204" pitchFamily="34" charset="0"/>
          </a:endParaRPr>
        </a:p>
      </xdr:txBody>
    </xdr:sp>
    <xdr:clientData/>
  </xdr:twoCellAnchor>
  <xdr:twoCellAnchor editAs="oneCell">
    <xdr:from>
      <xdr:col>1</xdr:col>
      <xdr:colOff>0</xdr:colOff>
      <xdr:row>2</xdr:row>
      <xdr:rowOff>1</xdr:rowOff>
    </xdr:from>
    <xdr:to>
      <xdr:col>2</xdr:col>
      <xdr:colOff>571499</xdr:colOff>
      <xdr:row>8</xdr:row>
      <xdr:rowOff>103533</xdr:rowOff>
    </xdr:to>
    <mc:AlternateContent xmlns:mc="http://schemas.openxmlformats.org/markup-compatibility/2006" xmlns:a14="http://schemas.microsoft.com/office/drawing/2010/main">
      <mc:Choice Requires="a14">
        <xdr:graphicFrame macro="">
          <xdr:nvGraphicFramePr>
            <xdr:cNvPr id="25" name="year">
              <a:extLst>
                <a:ext uri="{FF2B5EF4-FFF2-40B4-BE49-F238E27FC236}">
                  <a16:creationId xmlns:a16="http://schemas.microsoft.com/office/drawing/2014/main" id="{E235A960-547D-8C1B-B475-2475D94F9641}"/>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254000" y="359834"/>
              <a:ext cx="1217082" cy="118303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0</xdr:colOff>
      <xdr:row>8</xdr:row>
      <xdr:rowOff>95248</xdr:rowOff>
    </xdr:from>
    <xdr:to>
      <xdr:col>5</xdr:col>
      <xdr:colOff>116417</xdr:colOff>
      <xdr:row>15</xdr:row>
      <xdr:rowOff>95250</xdr:rowOff>
    </xdr:to>
    <mc:AlternateContent xmlns:mc="http://schemas.openxmlformats.org/markup-compatibility/2006">
      <mc:Choice xmlns:a14="http://schemas.microsoft.com/office/drawing/2010/main" Requires="a14">
        <xdr:graphicFrame macro="">
          <xdr:nvGraphicFramePr>
            <xdr:cNvPr id="26" name="airline_name">
              <a:extLst>
                <a:ext uri="{FF2B5EF4-FFF2-40B4-BE49-F238E27FC236}">
                  <a16:creationId xmlns:a16="http://schemas.microsoft.com/office/drawing/2014/main" id="{73EF17CC-ABA9-B5F2-2698-BF8BB45C5A21}"/>
                </a:ext>
              </a:extLst>
            </xdr:cNvPr>
            <xdr:cNvGraphicFramePr/>
          </xdr:nvGraphicFramePr>
          <xdr:xfrm>
            <a:off x="0" y="0"/>
            <a:ext cx="0" cy="0"/>
          </xdr:xfrm>
          <a:graphic>
            <a:graphicData uri="http://schemas.microsoft.com/office/drawing/2010/slicer">
              <sle:slicer xmlns:sle="http://schemas.microsoft.com/office/drawing/2010/slicer" name="airline_name"/>
            </a:graphicData>
          </a:graphic>
        </xdr:graphicFrame>
      </mc:Choice>
      <mc:Fallback>
        <xdr:sp macro="" textlink="">
          <xdr:nvSpPr>
            <xdr:cNvPr id="0" name=""/>
            <xdr:cNvSpPr>
              <a:spLocks noTextEdit="1"/>
            </xdr:cNvSpPr>
          </xdr:nvSpPr>
          <xdr:spPr>
            <a:xfrm>
              <a:off x="249741" y="1535614"/>
              <a:ext cx="2718369" cy="1260323"/>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570512</xdr:colOff>
      <xdr:row>2</xdr:row>
      <xdr:rowOff>2485</xdr:rowOff>
    </xdr:from>
    <xdr:to>
      <xdr:col>5</xdr:col>
      <xdr:colOff>116417</xdr:colOff>
      <xdr:row>8</xdr:row>
      <xdr:rowOff>99391</xdr:rowOff>
    </xdr:to>
    <mc:AlternateContent xmlns:mc="http://schemas.openxmlformats.org/markup-compatibility/2006" xmlns:a14="http://schemas.microsoft.com/office/drawing/2010/main">
      <mc:Choice Requires="a14">
        <xdr:graphicFrame macro="">
          <xdr:nvGraphicFramePr>
            <xdr:cNvPr id="27" name="region">
              <a:extLst>
                <a:ext uri="{FF2B5EF4-FFF2-40B4-BE49-F238E27FC236}">
                  <a16:creationId xmlns:a16="http://schemas.microsoft.com/office/drawing/2014/main" id="{FC185418-BBC1-632F-EFA0-471F2E9E372C}"/>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470095" y="362318"/>
              <a:ext cx="1482655" cy="1176406"/>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20707</xdr:colOff>
      <xdr:row>0</xdr:row>
      <xdr:rowOff>16565</xdr:rowOff>
    </xdr:from>
    <xdr:to>
      <xdr:col>14</xdr:col>
      <xdr:colOff>534457</xdr:colOff>
      <xdr:row>2</xdr:row>
      <xdr:rowOff>0</xdr:rowOff>
    </xdr:to>
    <xdr:sp macro="" textlink="">
      <xdr:nvSpPr>
        <xdr:cNvPr id="29" name="Rectangle: Rounded Corners 28">
          <a:extLst>
            <a:ext uri="{FF2B5EF4-FFF2-40B4-BE49-F238E27FC236}">
              <a16:creationId xmlns:a16="http://schemas.microsoft.com/office/drawing/2014/main" id="{5CA8FA72-AAE3-5E82-9EAC-FE1FE84EA9D7}"/>
            </a:ext>
          </a:extLst>
        </xdr:cNvPr>
        <xdr:cNvSpPr/>
      </xdr:nvSpPr>
      <xdr:spPr>
        <a:xfrm>
          <a:off x="274707" y="16565"/>
          <a:ext cx="8816376" cy="343268"/>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scene3d>
            <a:camera prst="orthographicFront"/>
            <a:lightRig rig="threePt" dir="t"/>
          </a:scene3d>
          <a:sp3d extrusionH="57150">
            <a:bevelT w="38100" h="38100"/>
          </a:sp3d>
        </a:bodyPr>
        <a:lstStyle/>
        <a:p>
          <a:pPr algn="ctr"/>
          <a:r>
            <a:rPr lang="en-GB" sz="1500" b="1">
              <a:latin typeface="Arial" panose="020B0604020202020204" pitchFamily="34" charset="0"/>
              <a:cs typeface="Arial" panose="020B0604020202020204" pitchFamily="34" charset="0"/>
            </a:rPr>
            <a:t>5 Year Global</a:t>
          </a:r>
          <a:r>
            <a:rPr lang="en-GB" sz="1500" b="1" baseline="0">
              <a:latin typeface="Arial" panose="020B0604020202020204" pitchFamily="34" charset="0"/>
              <a:cs typeface="Arial" panose="020B0604020202020204" pitchFamily="34" charset="0"/>
            </a:rPr>
            <a:t> Airline Performance Dashboard  </a:t>
          </a:r>
          <a:endParaRPr lang="en-GB" sz="1500" b="1">
            <a:latin typeface="Arial" panose="020B0604020202020204" pitchFamily="34" charset="0"/>
            <a:cs typeface="Arial" panose="020B0604020202020204" pitchFamily="34" charset="0"/>
          </a:endParaRPr>
        </a:p>
      </xdr:txBody>
    </xdr:sp>
    <xdr:clientData/>
  </xdr:twoCellAnchor>
  <xdr:twoCellAnchor>
    <xdr:from>
      <xdr:col>12</xdr:col>
      <xdr:colOff>465666</xdr:colOff>
      <xdr:row>3</xdr:row>
      <xdr:rowOff>153458</xdr:rowOff>
    </xdr:from>
    <xdr:to>
      <xdr:col>14</xdr:col>
      <xdr:colOff>-1</xdr:colOff>
      <xdr:row>4</xdr:row>
      <xdr:rowOff>153459</xdr:rowOff>
    </xdr:to>
    <xdr:sp macro="" textlink="Sheet1!C11">
      <xdr:nvSpPr>
        <xdr:cNvPr id="3" name="Rectangle: Rounded Corners 2">
          <a:extLst>
            <a:ext uri="{FF2B5EF4-FFF2-40B4-BE49-F238E27FC236}">
              <a16:creationId xmlns:a16="http://schemas.microsoft.com/office/drawing/2014/main" id="{A99DE966-9B2E-DBC4-B346-71E3ED665485}"/>
            </a:ext>
          </a:extLst>
        </xdr:cNvPr>
        <xdr:cNvSpPr/>
      </xdr:nvSpPr>
      <xdr:spPr>
        <a:xfrm>
          <a:off x="7821083" y="693208"/>
          <a:ext cx="735542" cy="179918"/>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4D2ABB23-2F88-42C3-B562-BB3A6286C604}" type="TxLink">
            <a:rPr lang="en-US" sz="900" b="1" i="0" u="none" strike="noStrike">
              <a:solidFill>
                <a:schemeClr val="bg1"/>
              </a:solidFill>
              <a:latin typeface="Aptos Narrow"/>
            </a:rPr>
            <a:pPr algn="ctr"/>
            <a:t> 5,616 </a:t>
          </a:fld>
          <a:endParaRPr lang="en-GB" sz="900" b="1">
            <a:solidFill>
              <a:schemeClr val="bg1"/>
            </a:solidFill>
          </a:endParaRPr>
        </a:p>
      </xdr:txBody>
    </xdr:sp>
    <xdr:clientData/>
  </xdr:twoCellAnchor>
  <xdr:twoCellAnchor>
    <xdr:from>
      <xdr:col>12</xdr:col>
      <xdr:colOff>275166</xdr:colOff>
      <xdr:row>2</xdr:row>
      <xdr:rowOff>121709</xdr:rowOff>
    </xdr:from>
    <xdr:to>
      <xdr:col>14</xdr:col>
      <xdr:colOff>111124</xdr:colOff>
      <xdr:row>3</xdr:row>
      <xdr:rowOff>153458</xdr:rowOff>
    </xdr:to>
    <xdr:sp macro="" textlink="">
      <xdr:nvSpPr>
        <xdr:cNvPr id="4" name="Rectangle: Rounded Corners 3">
          <a:extLst>
            <a:ext uri="{FF2B5EF4-FFF2-40B4-BE49-F238E27FC236}">
              <a16:creationId xmlns:a16="http://schemas.microsoft.com/office/drawing/2014/main" id="{DF77B414-D257-9B48-0FF6-8DB9F0523DFC}"/>
            </a:ext>
          </a:extLst>
        </xdr:cNvPr>
        <xdr:cNvSpPr/>
      </xdr:nvSpPr>
      <xdr:spPr>
        <a:xfrm>
          <a:off x="7630583" y="481542"/>
          <a:ext cx="1037167" cy="211666"/>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900" b="1"/>
            <a:t>Total Passenger</a:t>
          </a:r>
        </a:p>
      </xdr:txBody>
    </xdr:sp>
    <xdr:clientData/>
  </xdr:twoCellAnchor>
  <xdr:twoCellAnchor>
    <xdr:from>
      <xdr:col>9</xdr:col>
      <xdr:colOff>396875</xdr:colOff>
      <xdr:row>3</xdr:row>
      <xdr:rowOff>121708</xdr:rowOff>
    </xdr:from>
    <xdr:to>
      <xdr:col>10</xdr:col>
      <xdr:colOff>492125</xdr:colOff>
      <xdr:row>5</xdr:row>
      <xdr:rowOff>10584</xdr:rowOff>
    </xdr:to>
    <xdr:sp macro="" textlink="Sheet1!C8">
      <xdr:nvSpPr>
        <xdr:cNvPr id="5" name="Rectangle: Rounded Corners 4">
          <a:extLst>
            <a:ext uri="{FF2B5EF4-FFF2-40B4-BE49-F238E27FC236}">
              <a16:creationId xmlns:a16="http://schemas.microsoft.com/office/drawing/2014/main" id="{BF1EEC85-F78F-EA10-DC3A-6D50DA2D23EA}"/>
            </a:ext>
          </a:extLst>
        </xdr:cNvPr>
        <xdr:cNvSpPr/>
      </xdr:nvSpPr>
      <xdr:spPr>
        <a:xfrm>
          <a:off x="5815542" y="661458"/>
          <a:ext cx="740833" cy="248709"/>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1804CCD8-5A8F-412D-A25D-505A722722AE}" type="TxLink">
            <a:rPr lang="en-US" sz="900" b="0" i="0" u="none" strike="noStrike">
              <a:solidFill>
                <a:schemeClr val="bg1"/>
              </a:solidFill>
              <a:latin typeface="Aptos Narrow"/>
            </a:rPr>
            <a:t> 212.62 </a:t>
          </a:fld>
          <a:endParaRPr lang="en-GB" sz="900">
            <a:solidFill>
              <a:schemeClr val="bg1"/>
            </a:solidFill>
          </a:endParaRPr>
        </a:p>
      </xdr:txBody>
    </xdr:sp>
    <xdr:clientData/>
  </xdr:twoCellAnchor>
  <xdr:twoCellAnchor>
    <xdr:from>
      <xdr:col>6</xdr:col>
      <xdr:colOff>285750</xdr:colOff>
      <xdr:row>3</xdr:row>
      <xdr:rowOff>100543</xdr:rowOff>
    </xdr:from>
    <xdr:to>
      <xdr:col>7</xdr:col>
      <xdr:colOff>418042</xdr:colOff>
      <xdr:row>4</xdr:row>
      <xdr:rowOff>142876</xdr:rowOff>
    </xdr:to>
    <xdr:sp macro="" textlink="Sheet1!C4">
      <xdr:nvSpPr>
        <xdr:cNvPr id="7" name="Rectangle: Rounded Corners 6">
          <a:extLst>
            <a:ext uri="{FF2B5EF4-FFF2-40B4-BE49-F238E27FC236}">
              <a16:creationId xmlns:a16="http://schemas.microsoft.com/office/drawing/2014/main" id="{649F2CFE-3C93-84C4-328D-B89BE8A856C0}"/>
            </a:ext>
          </a:extLst>
        </xdr:cNvPr>
        <xdr:cNvSpPr/>
      </xdr:nvSpPr>
      <xdr:spPr>
        <a:xfrm>
          <a:off x="3767667" y="640293"/>
          <a:ext cx="777875" cy="222250"/>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50307C14-2B8D-4C23-9972-35BD9BA8B524}" type="TxLink">
            <a:rPr lang="en-US" sz="900" b="0" i="0" u="none" strike="noStrike">
              <a:solidFill>
                <a:schemeClr val="bg1"/>
              </a:solidFill>
              <a:latin typeface="Aptos Narrow"/>
            </a:rPr>
            <a:t> 3,036.64 </a:t>
          </a:fld>
          <a:endParaRPr lang="en-GB" sz="900">
            <a:solidFill>
              <a:schemeClr val="bg1"/>
            </a:solidFill>
          </a:endParaRPr>
        </a:p>
      </xdr:txBody>
    </xdr:sp>
    <xdr:clientData/>
  </xdr:twoCellAnchor>
</xdr:wsDr>
</file>

<file path=xl/drawings/drawing12.xml><?xml version="1.0" encoding="utf-8"?>
<c:userShapes xmlns:c="http://schemas.openxmlformats.org/drawingml/2006/chart">
  <cdr:relSizeAnchor xmlns:cdr="http://schemas.openxmlformats.org/drawingml/2006/chartDrawing">
    <cdr:from>
      <cdr:x>0.17962</cdr:x>
      <cdr:y>0.01748</cdr:y>
    </cdr:from>
    <cdr:to>
      <cdr:x>0.83877</cdr:x>
      <cdr:y>0.13869</cdr:y>
    </cdr:to>
    <cdr:sp macro="" textlink="">
      <cdr:nvSpPr>
        <cdr:cNvPr id="4" name="Rectangle: Rounded Corners 3">
          <a:extLst xmlns:a="http://schemas.openxmlformats.org/drawingml/2006/main">
            <a:ext uri="{FF2B5EF4-FFF2-40B4-BE49-F238E27FC236}">
              <a16:creationId xmlns:a16="http://schemas.microsoft.com/office/drawing/2014/main" id="{233B1F1A-1250-63D2-70FE-2338F69BBA89}"/>
            </a:ext>
          </a:extLst>
        </cdr:cNvPr>
        <cdr:cNvSpPr/>
      </cdr:nvSpPr>
      <cdr:spPr>
        <a:xfrm xmlns:a="http://schemas.openxmlformats.org/drawingml/2006/main">
          <a:off x="453431" y="31963"/>
          <a:ext cx="1663925" cy="221582"/>
        </a:xfrm>
        <a:prstGeom xmlns:a="http://schemas.openxmlformats.org/drawingml/2006/main" prst="roundRect">
          <a:avLst/>
        </a:prstGeom>
        <a:solidFill xmlns:a="http://schemas.openxmlformats.org/drawingml/2006/main">
          <a:schemeClr val="accent1">
            <a:lumMod val="40000"/>
            <a:lumOff val="60000"/>
          </a:schemeClr>
        </a:solidFill>
        <a:ln xmlns:a="http://schemas.openxmlformats.org/drawingml/2006/main" w="12700"/>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marL="0" indent="0" algn="ctr"/>
          <a:r>
            <a:rPr lang="en-GB" sz="800" b="1" kern="1200">
              <a:solidFill>
                <a:sysClr val="windowText" lastClr="000000"/>
              </a:solidFill>
              <a:latin typeface="Arial" panose="020B0604020202020204" pitchFamily="34" charset="0"/>
              <a:ea typeface="+mn-ea"/>
              <a:cs typeface="Arial" panose="020B0604020202020204" pitchFamily="34" charset="0"/>
            </a:rPr>
            <a:t>Total  Revenue By Region</a:t>
          </a:r>
        </a:p>
      </cdr:txBody>
    </cdr:sp>
  </cdr:relSizeAnchor>
</c:userShapes>
</file>

<file path=xl/drawings/drawing13.xml><?xml version="1.0" encoding="utf-8"?>
<c:userShapes xmlns:c="http://schemas.openxmlformats.org/drawingml/2006/chart">
  <cdr:relSizeAnchor xmlns:cdr="http://schemas.openxmlformats.org/drawingml/2006/chartDrawing">
    <cdr:from>
      <cdr:x>0.16701</cdr:x>
      <cdr:y>0.01158</cdr:y>
    </cdr:from>
    <cdr:to>
      <cdr:x>0.91823</cdr:x>
      <cdr:y>0.11616</cdr:y>
    </cdr:to>
    <cdr:sp macro="" textlink="">
      <cdr:nvSpPr>
        <cdr:cNvPr id="2" name="Rectangle: Rounded Corners 1">
          <a:extLst xmlns:a="http://schemas.openxmlformats.org/drawingml/2006/main">
            <a:ext uri="{FF2B5EF4-FFF2-40B4-BE49-F238E27FC236}">
              <a16:creationId xmlns:a16="http://schemas.microsoft.com/office/drawing/2014/main" id="{CDEEB5D9-B74B-6C47-8678-D51FAA86B12E}"/>
            </a:ext>
          </a:extLst>
        </cdr:cNvPr>
        <cdr:cNvSpPr/>
      </cdr:nvSpPr>
      <cdr:spPr>
        <a:xfrm xmlns:a="http://schemas.openxmlformats.org/drawingml/2006/main">
          <a:off x="605843" y="21170"/>
          <a:ext cx="2725089" cy="191188"/>
        </a:xfrm>
        <a:prstGeom xmlns:a="http://schemas.openxmlformats.org/drawingml/2006/main" prst="roundRect">
          <a:avLst/>
        </a:prstGeom>
        <a:solidFill xmlns:a="http://schemas.openxmlformats.org/drawingml/2006/main">
          <a:schemeClr val="accent1">
            <a:lumMod val="40000"/>
            <a:lumOff val="60000"/>
          </a:schemeClr>
        </a:solidFill>
        <a:ln xmlns:a="http://schemas.openxmlformats.org/drawingml/2006/main" w="9525"/>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marL="0" indent="0" algn="ctr"/>
          <a:r>
            <a:rPr lang="en-GB" sz="800" b="1" kern="1200">
              <a:solidFill>
                <a:sysClr val="windowText" lastClr="000000"/>
              </a:solidFill>
              <a:latin typeface="Arial" panose="020B0604020202020204" pitchFamily="34" charset="0"/>
              <a:ea typeface="+mn-ea"/>
              <a:cs typeface="Arial" panose="020B0604020202020204" pitchFamily="34" charset="0"/>
            </a:rPr>
            <a:t>Revenue and Operating Revenue By Top 5 Airline</a:t>
          </a:r>
          <a:r>
            <a:rPr lang="en-GB" sz="900" b="1" kern="1200">
              <a:solidFill>
                <a:sysClr val="windowText" lastClr="000000"/>
              </a:solidFill>
              <a:latin typeface="+mn-lt"/>
              <a:ea typeface="+mn-ea"/>
              <a:cs typeface="+mn-cs"/>
            </a:rPr>
            <a:t> </a:t>
          </a:r>
        </a:p>
      </cdr:txBody>
    </cdr:sp>
  </cdr:relSizeAnchor>
</c:userShapes>
</file>

<file path=xl/drawings/drawing14.xml><?xml version="1.0" encoding="utf-8"?>
<c:userShapes xmlns:c="http://schemas.openxmlformats.org/drawingml/2006/chart">
  <cdr:relSizeAnchor xmlns:cdr="http://schemas.openxmlformats.org/drawingml/2006/chartDrawing">
    <cdr:from>
      <cdr:x>0.19249</cdr:x>
      <cdr:y>0.00688</cdr:y>
    </cdr:from>
    <cdr:to>
      <cdr:x>0.77641</cdr:x>
      <cdr:y>0.11659</cdr:y>
    </cdr:to>
    <cdr:sp macro="" textlink="">
      <cdr:nvSpPr>
        <cdr:cNvPr id="2" name="Rectangle: Rounded Corners 1">
          <a:extLst xmlns:a="http://schemas.openxmlformats.org/drawingml/2006/main">
            <a:ext uri="{FF2B5EF4-FFF2-40B4-BE49-F238E27FC236}">
              <a16:creationId xmlns:a16="http://schemas.microsoft.com/office/drawing/2014/main" id="{45E7E634-FAF0-ED67-AEB8-D1767595290E}"/>
            </a:ext>
          </a:extLst>
        </cdr:cNvPr>
        <cdr:cNvSpPr/>
      </cdr:nvSpPr>
      <cdr:spPr>
        <a:xfrm xmlns:a="http://schemas.openxmlformats.org/drawingml/2006/main">
          <a:off x="792687" y="15083"/>
          <a:ext cx="2404631" cy="240527"/>
        </a:xfrm>
        <a:prstGeom xmlns:a="http://schemas.openxmlformats.org/drawingml/2006/main" prst="roundRect">
          <a:avLst/>
        </a:prstGeom>
        <a:solidFill xmlns:a="http://schemas.openxmlformats.org/drawingml/2006/main">
          <a:schemeClr val="accent1">
            <a:lumMod val="40000"/>
            <a:lumOff val="60000"/>
          </a:schemeClr>
        </a:solidFill>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nchor="t"/>
        <a:lstStyle xmlns:a="http://schemas.openxmlformats.org/drawingml/2006/main"/>
        <a:p xmlns:a="http://schemas.openxmlformats.org/drawingml/2006/main">
          <a:pPr marL="0" indent="0" algn="ctr"/>
          <a:r>
            <a:rPr lang="en-GB" sz="800" b="1" kern="1200">
              <a:solidFill>
                <a:sysClr val="windowText" lastClr="000000"/>
              </a:solidFill>
              <a:latin typeface="Arial" panose="020B0604020202020204" pitchFamily="34" charset="0"/>
              <a:ea typeface="+mn-ea"/>
              <a:cs typeface="Arial" panose="020B0604020202020204" pitchFamily="34" charset="0"/>
            </a:rPr>
            <a:t>5 Yeear Revenue Trend By Top 5 Airline</a:t>
          </a:r>
        </a:p>
        <a:p xmlns:a="http://schemas.openxmlformats.org/drawingml/2006/main">
          <a:pPr marL="0" indent="0" algn="ctr"/>
          <a:endParaRPr lang="en-GB" sz="700" b="1" kern="1200">
            <a:solidFill>
              <a:sysClr val="windowText" lastClr="000000"/>
            </a:solidFill>
            <a:latin typeface="+mn-lt"/>
            <a:ea typeface="+mn-ea"/>
            <a:cs typeface="+mn-cs"/>
          </a:endParaRPr>
        </a:p>
      </cdr:txBody>
    </cdr:sp>
  </cdr:relSizeAnchor>
</c:userShapes>
</file>

<file path=xl/drawings/drawing15.xml><?xml version="1.0" encoding="utf-8"?>
<c:userShapes xmlns:c="http://schemas.openxmlformats.org/drawingml/2006/chart">
  <cdr:relSizeAnchor xmlns:cdr="http://schemas.openxmlformats.org/drawingml/2006/chartDrawing">
    <cdr:from>
      <cdr:x>0.03458</cdr:x>
      <cdr:y>0.01094</cdr:y>
    </cdr:from>
    <cdr:to>
      <cdr:x>0.97122</cdr:x>
      <cdr:y>0.13389</cdr:y>
    </cdr:to>
    <cdr:sp macro="" textlink="">
      <cdr:nvSpPr>
        <cdr:cNvPr id="3" name="Rectangle: Rounded Corners 2">
          <a:extLst xmlns:a="http://schemas.openxmlformats.org/drawingml/2006/main">
            <a:ext uri="{FF2B5EF4-FFF2-40B4-BE49-F238E27FC236}">
              <a16:creationId xmlns:a16="http://schemas.microsoft.com/office/drawing/2014/main" id="{CA6A02A6-D07B-D4B1-9118-6C6A510F3960}"/>
            </a:ext>
          </a:extLst>
        </cdr:cNvPr>
        <cdr:cNvSpPr/>
      </cdr:nvSpPr>
      <cdr:spPr>
        <a:xfrm xmlns:a="http://schemas.openxmlformats.org/drawingml/2006/main">
          <a:off x="69943" y="24073"/>
          <a:ext cx="1894416" cy="270421"/>
        </a:xfrm>
        <a:prstGeom xmlns:a="http://schemas.openxmlformats.org/drawingml/2006/main" prst="roundRect">
          <a:avLst/>
        </a:prstGeom>
        <a:solidFill xmlns:a="http://schemas.openxmlformats.org/drawingml/2006/main">
          <a:schemeClr val="accent1">
            <a:lumMod val="40000"/>
            <a:lumOff val="60000"/>
          </a:schemeClr>
        </a:solidFill>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ctr"/>
          <a:r>
            <a:rPr lang="en-GB" sz="800" b="1" kern="1200">
              <a:solidFill>
                <a:sysClr val="windowText" lastClr="000000"/>
              </a:solidFill>
              <a:latin typeface="Arial" panose="020B0604020202020204" pitchFamily="34" charset="0"/>
              <a:cs typeface="Arial" panose="020B0604020202020204" pitchFamily="34" charset="0"/>
            </a:rPr>
            <a:t>Market</a:t>
          </a:r>
          <a:r>
            <a:rPr lang="en-GB" sz="800" b="1" kern="1200" baseline="0">
              <a:solidFill>
                <a:sysClr val="windowText" lastClr="000000"/>
              </a:solidFill>
              <a:latin typeface="Arial" panose="020B0604020202020204" pitchFamily="34" charset="0"/>
              <a:cs typeface="Arial" panose="020B0604020202020204" pitchFamily="34" charset="0"/>
            </a:rPr>
            <a:t> Share By Business Model</a:t>
          </a:r>
          <a:endParaRPr lang="en-GB" sz="800" b="1" kern="1200">
            <a:solidFill>
              <a:sysClr val="windowText" lastClr="000000"/>
            </a:solidFill>
            <a:latin typeface="Arial" panose="020B0604020202020204" pitchFamily="34" charset="0"/>
            <a:cs typeface="Arial" panose="020B0604020202020204" pitchFamily="34" charset="0"/>
          </a:endParaRPr>
        </a:p>
      </cdr:txBody>
    </cdr:sp>
  </cdr:relSizeAnchor>
</c:userShapes>
</file>

<file path=xl/drawings/drawing16.xml><?xml version="1.0" encoding="utf-8"?>
<c:userShapes xmlns:c="http://schemas.openxmlformats.org/drawingml/2006/chart">
  <cdr:relSizeAnchor xmlns:cdr="http://schemas.openxmlformats.org/drawingml/2006/chartDrawing">
    <cdr:from>
      <cdr:x>0.21584</cdr:x>
      <cdr:y>0.01289</cdr:y>
    </cdr:from>
    <cdr:to>
      <cdr:x>0.8059</cdr:x>
      <cdr:y>0.1244</cdr:y>
    </cdr:to>
    <cdr:sp macro="" textlink="">
      <cdr:nvSpPr>
        <cdr:cNvPr id="2" name="Rectangle: Rounded Corners 1">
          <a:extLst xmlns:a="http://schemas.openxmlformats.org/drawingml/2006/main">
            <a:ext uri="{FF2B5EF4-FFF2-40B4-BE49-F238E27FC236}">
              <a16:creationId xmlns:a16="http://schemas.microsoft.com/office/drawing/2014/main" id="{64DF6CB2-0192-B509-C4A9-488D41EF74B4}"/>
            </a:ext>
          </a:extLst>
        </cdr:cNvPr>
        <cdr:cNvSpPr/>
      </cdr:nvSpPr>
      <cdr:spPr>
        <a:xfrm xmlns:a="http://schemas.openxmlformats.org/drawingml/2006/main">
          <a:off x="580214" y="28512"/>
          <a:ext cx="1586180" cy="246655"/>
        </a:xfrm>
        <a:prstGeom xmlns:a="http://schemas.openxmlformats.org/drawingml/2006/main" prst="roundRect">
          <a:avLst/>
        </a:prstGeom>
        <a:solidFill xmlns:a="http://schemas.openxmlformats.org/drawingml/2006/main">
          <a:schemeClr val="accent1">
            <a:lumMod val="40000"/>
            <a:lumOff val="60000"/>
          </a:schemeClr>
        </a:solidFill>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marL="0" indent="0" algn="ctr"/>
          <a:r>
            <a:rPr lang="en-GB" sz="800" b="1" kern="1200">
              <a:solidFill>
                <a:sysClr val="windowText" lastClr="000000"/>
              </a:solidFill>
              <a:latin typeface="+mn-lt"/>
              <a:ea typeface="+mn-ea"/>
              <a:cs typeface="+mn-cs"/>
            </a:rPr>
            <a:t>    Passenger By Region</a:t>
          </a:r>
        </a:p>
      </cdr:txBody>
    </cdr:sp>
  </cdr:relSizeAnchor>
</c:userShapes>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yokunle Arowolo" refreshedDate="46237.944878125003" createdVersion="8" refreshedVersion="8" minRefreshableVersion="3" recordCount="149" xr:uid="{D4665E0A-26AD-4EE7-BC1C-038D0DADBC87}">
  <cacheSource type="worksheet">
    <worksheetSource name="Table1"/>
  </cacheSource>
  <cacheFields count="8">
    <cacheField name="year" numFmtId="0">
      <sharedItems containsSemiMixedTypes="0" containsString="0" containsNumber="1" containsInteger="1" minValue="2022" maxValue="2026" count="5">
        <n v="2026"/>
        <n v="2025"/>
        <n v="2024"/>
        <n v="2023"/>
        <n v="2022"/>
      </sharedItems>
    </cacheField>
    <cacheField name="airline_name" numFmtId="0">
      <sharedItems count="30">
        <s v="Delta Air Lines"/>
        <s v="United Airlines"/>
        <s v="American Airlines"/>
        <s v="Lufthansa Group"/>
        <s v="Air France-KLM"/>
        <s v="Emirates"/>
        <s v="IAG (British Airways)"/>
        <s v="Southwest Airlines"/>
        <s v="China Southern"/>
        <s v="Air China"/>
        <s v="Turkish Airlines"/>
        <s v="Qatar Airways"/>
        <s v="China Eastern"/>
        <s v="ANA Holdings"/>
        <s v="Singapore Airlines"/>
        <s v="Ryanair"/>
        <s v="Cathay Pacific"/>
        <s v="Korean Air"/>
        <s v="Japan Airlines"/>
        <s v="LATAM Airlines"/>
        <s v="Alaska Airlines"/>
        <s v="easyJet"/>
        <s v="JetBlue"/>
        <s v="IndiGo"/>
        <s v="Saudia"/>
        <s v="Etihad"/>
        <s v="Aeroflot"/>
        <s v="AirAsia"/>
        <s v="Azul"/>
        <s v="Riyadh Air"/>
      </sharedItems>
    </cacheField>
    <cacheField name="region" numFmtId="0">
      <sharedItems count="5">
        <s v="North America"/>
        <s v="Europe"/>
        <s v="Middle East"/>
        <s v="Asia"/>
        <s v="Latin America"/>
      </sharedItems>
    </cacheField>
    <cacheField name="business_model" numFmtId="0">
      <sharedItems count="3">
        <s v="legacy"/>
        <s v="low_cost"/>
        <s v="regional"/>
      </sharedItems>
    </cacheField>
    <cacheField name="revenue_usd_bn" numFmtId="0">
      <sharedItems containsSemiMixedTypes="0" containsString="0" containsNumber="1" minValue="0.01" maxValue="68.38" count="147">
        <n v="68.38"/>
        <n v="64.72"/>
        <n v="62.28"/>
        <n v="60.38"/>
        <n v="59.14"/>
        <n v="58.19"/>
        <n v="57.72"/>
        <n v="56.96"/>
        <n v="55.86"/>
        <n v="54.78"/>
        <n v="52.89"/>
        <n v="51.92"/>
        <n v="51.26"/>
        <n v="50.43"/>
        <n v="45.43"/>
        <n v="45.02"/>
        <n v="43.34"/>
        <n v="38.729999999999997"/>
        <n v="38.619999999999997"/>
        <n v="38"/>
        <n v="37.94"/>
        <n v="37.22"/>
        <n v="36.71"/>
        <n v="36.229999999999997"/>
        <n v="35.08"/>
        <n v="33.770000000000003"/>
        <n v="33.53"/>
        <n v="33.25"/>
        <n v="33"/>
        <n v="32.619999999999997"/>
        <n v="32.479999999999997"/>
        <n v="32.340000000000003"/>
        <n v="31.66"/>
        <n v="29.25"/>
        <n v="29.11"/>
        <n v="28.11"/>
        <n v="27.61"/>
        <n v="26.87"/>
        <n v="26.77"/>
        <n v="26.42"/>
        <n v="26.32"/>
        <n v="25.8"/>
        <n v="25.33"/>
        <n v="25.17"/>
        <n v="25.01"/>
        <n v="24.72"/>
        <n v="23.92"/>
        <n v="23.79"/>
        <n v="23.21"/>
        <n v="22.77"/>
        <n v="22.65"/>
        <n v="22.37"/>
        <n v="21.46"/>
        <n v="21.23"/>
        <n v="21.17"/>
        <n v="20.85"/>
        <n v="20.23"/>
        <n v="20.2"/>
        <n v="20.190000000000001"/>
        <n v="18.88"/>
        <n v="18.850000000000001"/>
        <n v="18.809999999999999"/>
        <n v="18.55"/>
        <n v="17.77"/>
        <n v="17.37"/>
        <n v="16.940000000000001"/>
        <n v="16.59"/>
        <n v="16.21"/>
        <n v="16.2"/>
        <n v="15.75"/>
        <n v="15.73"/>
        <n v="15.37"/>
        <n v="15.19"/>
        <n v="14.89"/>
        <n v="14.62"/>
        <n v="14.2"/>
        <n v="14.1"/>
        <n v="14.05"/>
        <n v="13.95"/>
        <n v="13.7"/>
        <n v="13.27"/>
        <n v="13.23"/>
        <n v="13.17"/>
        <n v="12.99"/>
        <n v="12.91"/>
        <n v="12.41"/>
        <n v="12.35"/>
        <n v="12.33"/>
        <n v="12.27"/>
        <n v="12.04"/>
        <n v="11.94"/>
        <n v="11.93"/>
        <n v="11.76"/>
        <n v="11.7"/>
        <n v="11.44"/>
        <n v="11.22"/>
        <n v="11.11"/>
        <n v="10.84"/>
        <n v="10.75"/>
        <n v="10.69"/>
        <n v="10.38"/>
        <n v="10.16"/>
        <n v="9.9499999999999993"/>
        <n v="9.9"/>
        <n v="9.7100000000000009"/>
        <n v="9.5299999999999994"/>
        <n v="9.52"/>
        <n v="9.49"/>
        <n v="9.35"/>
        <n v="9.24"/>
        <n v="9.1999999999999993"/>
        <n v="9.15"/>
        <n v="8.7100000000000009"/>
        <n v="8.6999999999999993"/>
        <n v="8.59"/>
        <n v="8.34"/>
        <n v="8.02"/>
        <n v="7.79"/>
        <n v="7.65"/>
        <n v="7.53"/>
        <n v="7.48"/>
        <n v="7.16"/>
        <n v="6.88"/>
        <n v="6.61"/>
        <n v="6.16"/>
        <n v="5.74"/>
        <n v="5.66"/>
        <n v="5.63"/>
        <n v="5.56"/>
        <n v="5.22"/>
        <n v="5.18"/>
        <n v="5.12"/>
        <n v="5.0199999999999996"/>
        <n v="4.9400000000000004"/>
        <n v="4.8499999999999996"/>
        <n v="4.3899999999999997"/>
        <n v="4.37"/>
        <n v="4.22"/>
        <n v="4.21"/>
        <n v="3.96"/>
        <n v="3.89"/>
        <n v="3.19"/>
        <n v="3.11"/>
        <n v="1.58"/>
        <n v="1.49"/>
        <n v="0.52"/>
        <n v="0.01"/>
      </sharedItems>
    </cacheField>
    <cacheField name="operating_income_usd_bn" numFmtId="0">
      <sharedItems containsSemiMixedTypes="0" containsString="0" containsNumber="1" minValue="-1.81" maxValue="6.59"/>
    </cacheField>
    <cacheField name="passengers_carried_m" numFmtId="0">
      <sharedItems containsSemiMixedTypes="0" containsString="0" containsNumber="1" minValue="0" maxValue="129.30000000000001"/>
    </cacheField>
    <cacheField name="fleet_size_est" numFmtId="0">
      <sharedItems containsSemiMixedTypes="0" containsString="0" containsNumber="1" containsInteger="1" minValue="0" maxValue="341" count="112">
        <n v="341"/>
        <n v="323"/>
        <n v="311"/>
        <n v="301"/>
        <n v="295"/>
        <n v="290"/>
        <n v="288"/>
        <n v="284"/>
        <n v="279"/>
        <n v="273"/>
        <n v="264"/>
        <n v="259"/>
        <n v="256"/>
        <n v="252"/>
        <n v="227"/>
        <n v="225"/>
        <n v="216"/>
        <n v="193"/>
        <n v="189"/>
        <n v="186"/>
        <n v="183"/>
        <n v="181"/>
        <n v="175"/>
        <n v="168"/>
        <n v="167"/>
        <n v="166"/>
        <n v="164"/>
        <n v="163"/>
        <n v="162"/>
        <n v="161"/>
        <n v="158"/>
        <n v="146"/>
        <n v="145"/>
        <n v="140"/>
        <n v="138"/>
        <n v="134"/>
        <n v="133"/>
        <n v="132"/>
        <n v="131"/>
        <n v="129"/>
        <n v="126"/>
        <n v="125"/>
        <n v="123"/>
        <n v="119"/>
        <n v="118"/>
        <n v="116"/>
        <n v="113"/>
        <n v="111"/>
        <n v="107"/>
        <n v="106"/>
        <n v="105"/>
        <n v="104"/>
        <n v="101"/>
        <n v="100"/>
        <n v="94"/>
        <n v="92"/>
        <n v="88"/>
        <n v="86"/>
        <n v="84"/>
        <n v="82"/>
        <n v="81"/>
        <n v="80"/>
        <n v="78"/>
        <n v="76"/>
        <n v="75"/>
        <n v="74"/>
        <n v="73"/>
        <n v="71"/>
        <n v="70"/>
        <n v="69"/>
        <n v="68"/>
        <n v="66"/>
        <n v="65"/>
        <n v="64"/>
        <n v="62"/>
        <n v="61"/>
        <n v="60"/>
        <n v="59"/>
        <n v="58"/>
        <n v="57"/>
        <n v="56"/>
        <n v="55"/>
        <n v="54"/>
        <n v="53"/>
        <n v="51"/>
        <n v="50"/>
        <n v="49"/>
        <n v="48"/>
        <n v="47"/>
        <n v="46"/>
        <n v="45"/>
        <n v="43"/>
        <n v="42"/>
        <n v="41"/>
        <n v="40"/>
        <n v="38"/>
        <n v="37"/>
        <n v="35"/>
        <n v="34"/>
        <n v="33"/>
        <n v="30"/>
        <n v="28"/>
        <n v="27"/>
        <n v="26"/>
        <n v="25"/>
        <n v="24"/>
        <n v="21"/>
        <n v="19"/>
        <n v="15"/>
        <n v="7"/>
        <n v="2"/>
        <n v="0"/>
      </sharedItems>
    </cacheField>
  </cacheFields>
  <extLst>
    <ext xmlns:x14="http://schemas.microsoft.com/office/spreadsheetml/2009/9/main" uri="{725AE2AE-9491-48be-B2B4-4EB974FC3084}">
      <x14:pivotCacheDefinition pivotCacheId="150932178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9">
  <r>
    <x v="0"/>
    <x v="0"/>
    <x v="0"/>
    <x v="0"/>
    <x v="0"/>
    <n v="4.22"/>
    <n v="102.6"/>
    <x v="0"/>
  </r>
  <r>
    <x v="1"/>
    <x v="0"/>
    <x v="0"/>
    <x v="0"/>
    <x v="1"/>
    <n v="6.59"/>
    <n v="97.1"/>
    <x v="1"/>
  </r>
  <r>
    <x v="0"/>
    <x v="1"/>
    <x v="0"/>
    <x v="0"/>
    <x v="2"/>
    <n v="3.15"/>
    <n v="93.4"/>
    <x v="2"/>
  </r>
  <r>
    <x v="2"/>
    <x v="0"/>
    <x v="0"/>
    <x v="0"/>
    <x v="3"/>
    <n v="5.18"/>
    <n v="90.6"/>
    <x v="3"/>
  </r>
  <r>
    <x v="3"/>
    <x v="0"/>
    <x v="0"/>
    <x v="0"/>
    <x v="4"/>
    <n v="5.83"/>
    <n v="88.7"/>
    <x v="4"/>
  </r>
  <r>
    <x v="1"/>
    <x v="1"/>
    <x v="0"/>
    <x v="0"/>
    <x v="5"/>
    <n v="3.2"/>
    <n v="87.3"/>
    <x v="5"/>
  </r>
  <r>
    <x v="0"/>
    <x v="2"/>
    <x v="0"/>
    <x v="0"/>
    <x v="6"/>
    <n v="1.97"/>
    <n v="86.6"/>
    <x v="6"/>
  </r>
  <r>
    <x v="2"/>
    <x v="1"/>
    <x v="0"/>
    <x v="0"/>
    <x v="7"/>
    <n v="2.15"/>
    <n v="85.4"/>
    <x v="7"/>
  </r>
  <r>
    <x v="1"/>
    <x v="2"/>
    <x v="0"/>
    <x v="0"/>
    <x v="8"/>
    <n v="5.96"/>
    <n v="83.8"/>
    <x v="8"/>
  </r>
  <r>
    <x v="3"/>
    <x v="1"/>
    <x v="0"/>
    <x v="0"/>
    <x v="9"/>
    <n v="4.25"/>
    <n v="82.2"/>
    <x v="9"/>
  </r>
  <r>
    <x v="2"/>
    <x v="2"/>
    <x v="0"/>
    <x v="0"/>
    <x v="10"/>
    <n v="3.68"/>
    <n v="79.3"/>
    <x v="10"/>
  </r>
  <r>
    <x v="4"/>
    <x v="2"/>
    <x v="0"/>
    <x v="0"/>
    <x v="11"/>
    <n v="4.82"/>
    <n v="77.900000000000006"/>
    <x v="11"/>
  </r>
  <r>
    <x v="3"/>
    <x v="2"/>
    <x v="0"/>
    <x v="0"/>
    <x v="12"/>
    <n v="1.37"/>
    <n v="76.900000000000006"/>
    <x v="12"/>
  </r>
  <r>
    <x v="4"/>
    <x v="0"/>
    <x v="0"/>
    <x v="0"/>
    <x v="13"/>
    <n v="-0.05"/>
    <n v="75.599999999999994"/>
    <x v="13"/>
  </r>
  <r>
    <x v="0"/>
    <x v="3"/>
    <x v="1"/>
    <x v="0"/>
    <x v="14"/>
    <n v="2.99"/>
    <n v="68.099999999999994"/>
    <x v="14"/>
  </r>
  <r>
    <x v="4"/>
    <x v="1"/>
    <x v="0"/>
    <x v="0"/>
    <x v="15"/>
    <n v="1.44"/>
    <n v="67.5"/>
    <x v="15"/>
  </r>
  <r>
    <x v="1"/>
    <x v="3"/>
    <x v="1"/>
    <x v="0"/>
    <x v="16"/>
    <n v="2.85"/>
    <n v="65"/>
    <x v="16"/>
  </r>
  <r>
    <x v="0"/>
    <x v="4"/>
    <x v="1"/>
    <x v="0"/>
    <x v="17"/>
    <n v="1.51"/>
    <n v="58.1"/>
    <x v="17"/>
  </r>
  <r>
    <x v="2"/>
    <x v="3"/>
    <x v="1"/>
    <x v="0"/>
    <x v="18"/>
    <n v="4.5199999999999996"/>
    <n v="57.9"/>
    <x v="17"/>
  </r>
  <r>
    <x v="1"/>
    <x v="4"/>
    <x v="1"/>
    <x v="0"/>
    <x v="19"/>
    <n v="3.11"/>
    <n v="57"/>
    <x v="18"/>
  </r>
  <r>
    <x v="0"/>
    <x v="5"/>
    <x v="2"/>
    <x v="0"/>
    <x v="20"/>
    <n v="2.67"/>
    <n v="56.9"/>
    <x v="18"/>
  </r>
  <r>
    <x v="3"/>
    <x v="3"/>
    <x v="1"/>
    <x v="0"/>
    <x v="21"/>
    <n v="2.4300000000000002"/>
    <n v="55.8"/>
    <x v="19"/>
  </r>
  <r>
    <x v="0"/>
    <x v="6"/>
    <x v="1"/>
    <x v="0"/>
    <x v="22"/>
    <n v="2.09"/>
    <n v="55.1"/>
    <x v="20"/>
  </r>
  <r>
    <x v="1"/>
    <x v="6"/>
    <x v="1"/>
    <x v="0"/>
    <x v="23"/>
    <n v="2.54"/>
    <n v="54.3"/>
    <x v="21"/>
  </r>
  <r>
    <x v="4"/>
    <x v="3"/>
    <x v="1"/>
    <x v="0"/>
    <x v="24"/>
    <n v="1.06"/>
    <n v="52.6"/>
    <x v="22"/>
  </r>
  <r>
    <x v="2"/>
    <x v="4"/>
    <x v="1"/>
    <x v="0"/>
    <x v="25"/>
    <n v="3"/>
    <n v="50.7"/>
    <x v="23"/>
  </r>
  <r>
    <x v="1"/>
    <x v="5"/>
    <x v="2"/>
    <x v="0"/>
    <x v="26"/>
    <n v="3.79"/>
    <n v="50.3"/>
    <x v="24"/>
  </r>
  <r>
    <x v="3"/>
    <x v="6"/>
    <x v="1"/>
    <x v="0"/>
    <x v="27"/>
    <n v="2.85"/>
    <n v="49.9"/>
    <x v="25"/>
  </r>
  <r>
    <x v="2"/>
    <x v="6"/>
    <x v="1"/>
    <x v="0"/>
    <x v="28"/>
    <n v="2.4900000000000002"/>
    <n v="49.5"/>
    <x v="26"/>
  </r>
  <r>
    <x v="3"/>
    <x v="5"/>
    <x v="2"/>
    <x v="0"/>
    <x v="29"/>
    <n v="2.0299999999999998"/>
    <n v="48.9"/>
    <x v="27"/>
  </r>
  <r>
    <x v="3"/>
    <x v="4"/>
    <x v="1"/>
    <x v="0"/>
    <x v="30"/>
    <n v="3.5"/>
    <n v="48.7"/>
    <x v="28"/>
  </r>
  <r>
    <x v="0"/>
    <x v="7"/>
    <x v="0"/>
    <x v="1"/>
    <x v="31"/>
    <n v="3.95"/>
    <n v="129.30000000000001"/>
    <x v="29"/>
  </r>
  <r>
    <x v="2"/>
    <x v="5"/>
    <x v="2"/>
    <x v="0"/>
    <x v="32"/>
    <n v="1.1000000000000001"/>
    <n v="47.5"/>
    <x v="30"/>
  </r>
  <r>
    <x v="1"/>
    <x v="7"/>
    <x v="0"/>
    <x v="1"/>
    <x v="33"/>
    <n v="3.39"/>
    <n v="117"/>
    <x v="31"/>
  </r>
  <r>
    <x v="0"/>
    <x v="8"/>
    <x v="3"/>
    <x v="0"/>
    <x v="34"/>
    <n v="0.99"/>
    <n v="43.7"/>
    <x v="32"/>
  </r>
  <r>
    <x v="4"/>
    <x v="4"/>
    <x v="1"/>
    <x v="0"/>
    <x v="35"/>
    <n v="-0.48"/>
    <n v="42.2"/>
    <x v="33"/>
  </r>
  <r>
    <x v="0"/>
    <x v="9"/>
    <x v="3"/>
    <x v="0"/>
    <x v="36"/>
    <n v="2.1"/>
    <n v="41.4"/>
    <x v="34"/>
  </r>
  <r>
    <x v="4"/>
    <x v="6"/>
    <x v="1"/>
    <x v="0"/>
    <x v="37"/>
    <n v="1.01"/>
    <n v="40.299999999999997"/>
    <x v="35"/>
  </r>
  <r>
    <x v="2"/>
    <x v="7"/>
    <x v="0"/>
    <x v="1"/>
    <x v="38"/>
    <n v="3.64"/>
    <n v="107.1"/>
    <x v="36"/>
  </r>
  <r>
    <x v="0"/>
    <x v="10"/>
    <x v="1"/>
    <x v="0"/>
    <x v="39"/>
    <n v="0.9"/>
    <n v="39.6"/>
    <x v="37"/>
  </r>
  <r>
    <x v="1"/>
    <x v="8"/>
    <x v="3"/>
    <x v="0"/>
    <x v="40"/>
    <n v="2.5299999999999998"/>
    <n v="39.5"/>
    <x v="38"/>
  </r>
  <r>
    <x v="3"/>
    <x v="7"/>
    <x v="0"/>
    <x v="1"/>
    <x v="41"/>
    <n v="4.04"/>
    <n v="103.2"/>
    <x v="39"/>
  </r>
  <r>
    <x v="1"/>
    <x v="9"/>
    <x v="3"/>
    <x v="0"/>
    <x v="42"/>
    <n v="2.82"/>
    <n v="38"/>
    <x v="40"/>
  </r>
  <r>
    <x v="1"/>
    <x v="10"/>
    <x v="1"/>
    <x v="0"/>
    <x v="43"/>
    <n v="2.2999999999999998"/>
    <n v="37.799999999999997"/>
    <x v="41"/>
  </r>
  <r>
    <x v="4"/>
    <x v="7"/>
    <x v="0"/>
    <x v="1"/>
    <x v="44"/>
    <n v="1.58"/>
    <n v="100"/>
    <x v="41"/>
  </r>
  <r>
    <x v="0"/>
    <x v="11"/>
    <x v="2"/>
    <x v="0"/>
    <x v="45"/>
    <n v="1.71"/>
    <n v="37.1"/>
    <x v="42"/>
  </r>
  <r>
    <x v="1"/>
    <x v="11"/>
    <x v="2"/>
    <x v="0"/>
    <x v="46"/>
    <n v="2.83"/>
    <n v="35.9"/>
    <x v="43"/>
  </r>
  <r>
    <x v="2"/>
    <x v="8"/>
    <x v="3"/>
    <x v="0"/>
    <x v="47"/>
    <n v="1.36"/>
    <n v="35.700000000000003"/>
    <x v="44"/>
  </r>
  <r>
    <x v="4"/>
    <x v="5"/>
    <x v="2"/>
    <x v="0"/>
    <x v="48"/>
    <n v="0.98"/>
    <n v="34.799999999999997"/>
    <x v="45"/>
  </r>
  <r>
    <x v="2"/>
    <x v="10"/>
    <x v="1"/>
    <x v="0"/>
    <x v="49"/>
    <n v="1.46"/>
    <n v="34.200000000000003"/>
    <x v="46"/>
  </r>
  <r>
    <x v="0"/>
    <x v="12"/>
    <x v="3"/>
    <x v="0"/>
    <x v="50"/>
    <n v="1"/>
    <n v="34"/>
    <x v="46"/>
  </r>
  <r>
    <x v="2"/>
    <x v="9"/>
    <x v="3"/>
    <x v="0"/>
    <x v="51"/>
    <n v="2.27"/>
    <n v="33.6"/>
    <x v="47"/>
  </r>
  <r>
    <x v="2"/>
    <x v="11"/>
    <x v="2"/>
    <x v="0"/>
    <x v="52"/>
    <n v="2.0699999999999998"/>
    <n v="32.200000000000003"/>
    <x v="48"/>
  </r>
  <r>
    <x v="3"/>
    <x v="10"/>
    <x v="1"/>
    <x v="0"/>
    <x v="53"/>
    <n v="1.39"/>
    <n v="31.8"/>
    <x v="49"/>
  </r>
  <r>
    <x v="1"/>
    <x v="12"/>
    <x v="3"/>
    <x v="0"/>
    <x v="54"/>
    <n v="1.39"/>
    <n v="31.8"/>
    <x v="50"/>
  </r>
  <r>
    <x v="3"/>
    <x v="8"/>
    <x v="3"/>
    <x v="0"/>
    <x v="55"/>
    <n v="1.64"/>
    <n v="31.3"/>
    <x v="51"/>
  </r>
  <r>
    <x v="3"/>
    <x v="11"/>
    <x v="2"/>
    <x v="0"/>
    <x v="56"/>
    <n v="1.59"/>
    <n v="30.3"/>
    <x v="52"/>
  </r>
  <r>
    <x v="3"/>
    <x v="9"/>
    <x v="3"/>
    <x v="0"/>
    <x v="57"/>
    <n v="2.52"/>
    <n v="30.3"/>
    <x v="52"/>
  </r>
  <r>
    <x v="0"/>
    <x v="13"/>
    <x v="3"/>
    <x v="0"/>
    <x v="58"/>
    <n v="1.94"/>
    <n v="30.3"/>
    <x v="53"/>
  </r>
  <r>
    <x v="2"/>
    <x v="12"/>
    <x v="3"/>
    <x v="0"/>
    <x v="59"/>
    <n v="1.36"/>
    <n v="28.3"/>
    <x v="54"/>
  </r>
  <r>
    <x v="4"/>
    <x v="10"/>
    <x v="1"/>
    <x v="0"/>
    <x v="60"/>
    <n v="0.49"/>
    <n v="28.3"/>
    <x v="54"/>
  </r>
  <r>
    <x v="1"/>
    <x v="13"/>
    <x v="3"/>
    <x v="0"/>
    <x v="61"/>
    <n v="1.21"/>
    <n v="28.2"/>
    <x v="54"/>
  </r>
  <r>
    <x v="4"/>
    <x v="11"/>
    <x v="2"/>
    <x v="0"/>
    <x v="62"/>
    <n v="0.42"/>
    <n v="27.8"/>
    <x v="55"/>
  </r>
  <r>
    <x v="3"/>
    <x v="12"/>
    <x v="3"/>
    <x v="0"/>
    <x v="63"/>
    <n v="1.91"/>
    <n v="26.7"/>
    <x v="56"/>
  </r>
  <r>
    <x v="0"/>
    <x v="14"/>
    <x v="3"/>
    <x v="0"/>
    <x v="64"/>
    <n v="0.72"/>
    <n v="26"/>
    <x v="57"/>
  </r>
  <r>
    <x v="2"/>
    <x v="13"/>
    <x v="3"/>
    <x v="0"/>
    <x v="65"/>
    <n v="1.04"/>
    <n v="25.4"/>
    <x v="58"/>
  </r>
  <r>
    <x v="3"/>
    <x v="13"/>
    <x v="3"/>
    <x v="0"/>
    <x v="66"/>
    <n v="0.8"/>
    <n v="24.9"/>
    <x v="59"/>
  </r>
  <r>
    <x v="0"/>
    <x v="15"/>
    <x v="1"/>
    <x v="1"/>
    <x v="67"/>
    <n v="1.72"/>
    <n v="64.8"/>
    <x v="60"/>
  </r>
  <r>
    <x v="1"/>
    <x v="14"/>
    <x v="3"/>
    <x v="0"/>
    <x v="68"/>
    <n v="1.28"/>
    <n v="24.3"/>
    <x v="61"/>
  </r>
  <r>
    <x v="2"/>
    <x v="14"/>
    <x v="3"/>
    <x v="0"/>
    <x v="69"/>
    <n v="1.31"/>
    <n v="23.6"/>
    <x v="62"/>
  </r>
  <r>
    <x v="4"/>
    <x v="13"/>
    <x v="3"/>
    <x v="0"/>
    <x v="70"/>
    <n v="7.0000000000000007E-2"/>
    <n v="23.6"/>
    <x v="62"/>
  </r>
  <r>
    <x v="0"/>
    <x v="16"/>
    <x v="3"/>
    <x v="0"/>
    <x v="71"/>
    <n v="0.79"/>
    <n v="23.1"/>
    <x v="63"/>
  </r>
  <r>
    <x v="3"/>
    <x v="14"/>
    <x v="3"/>
    <x v="0"/>
    <x v="72"/>
    <n v="1.21"/>
    <n v="22.8"/>
    <x v="64"/>
  </r>
  <r>
    <x v="2"/>
    <x v="15"/>
    <x v="1"/>
    <x v="1"/>
    <x v="73"/>
    <n v="1.52"/>
    <n v="59.6"/>
    <x v="65"/>
  </r>
  <r>
    <x v="0"/>
    <x v="17"/>
    <x v="3"/>
    <x v="0"/>
    <x v="74"/>
    <n v="0.85"/>
    <n v="21.9"/>
    <x v="66"/>
  </r>
  <r>
    <x v="0"/>
    <x v="18"/>
    <x v="3"/>
    <x v="0"/>
    <x v="75"/>
    <n v="1.1499999999999999"/>
    <n v="21.3"/>
    <x v="67"/>
  </r>
  <r>
    <x v="2"/>
    <x v="16"/>
    <x v="3"/>
    <x v="0"/>
    <x v="76"/>
    <n v="0.95"/>
    <n v="21.1"/>
    <x v="68"/>
  </r>
  <r>
    <x v="1"/>
    <x v="16"/>
    <x v="3"/>
    <x v="0"/>
    <x v="77"/>
    <n v="0.77"/>
    <n v="21.1"/>
    <x v="68"/>
  </r>
  <r>
    <x v="1"/>
    <x v="15"/>
    <x v="1"/>
    <x v="1"/>
    <x v="78"/>
    <n v="1.48"/>
    <n v="55.8"/>
    <x v="69"/>
  </r>
  <r>
    <x v="1"/>
    <x v="19"/>
    <x v="4"/>
    <x v="0"/>
    <x v="79"/>
    <n v="1.07"/>
    <n v="20.5"/>
    <x v="70"/>
  </r>
  <r>
    <x v="0"/>
    <x v="19"/>
    <x v="4"/>
    <x v="0"/>
    <x v="80"/>
    <n v="0.38"/>
    <n v="19.899999999999999"/>
    <x v="71"/>
  </r>
  <r>
    <x v="1"/>
    <x v="17"/>
    <x v="3"/>
    <x v="0"/>
    <x v="81"/>
    <n v="0.7"/>
    <n v="19.8"/>
    <x v="71"/>
  </r>
  <r>
    <x v="0"/>
    <x v="20"/>
    <x v="0"/>
    <x v="2"/>
    <x v="82"/>
    <n v="0.73"/>
    <n v="39.5"/>
    <x v="72"/>
  </r>
  <r>
    <x v="1"/>
    <x v="18"/>
    <x v="3"/>
    <x v="0"/>
    <x v="82"/>
    <n v="1.03"/>
    <n v="19.8"/>
    <x v="72"/>
  </r>
  <r>
    <x v="3"/>
    <x v="16"/>
    <x v="3"/>
    <x v="0"/>
    <x v="83"/>
    <n v="1.1599999999999999"/>
    <n v="19.5"/>
    <x v="73"/>
  </r>
  <r>
    <x v="3"/>
    <x v="15"/>
    <x v="1"/>
    <x v="1"/>
    <x v="84"/>
    <n v="1.07"/>
    <n v="51.6"/>
    <x v="73"/>
  </r>
  <r>
    <x v="3"/>
    <x v="18"/>
    <x v="3"/>
    <x v="0"/>
    <x v="85"/>
    <n v="1.1000000000000001"/>
    <n v="18.600000000000001"/>
    <x v="74"/>
  </r>
  <r>
    <x v="2"/>
    <x v="19"/>
    <x v="4"/>
    <x v="0"/>
    <x v="86"/>
    <n v="0.72"/>
    <n v="18.5"/>
    <x v="75"/>
  </r>
  <r>
    <x v="2"/>
    <x v="17"/>
    <x v="3"/>
    <x v="0"/>
    <x v="87"/>
    <n v="1.34"/>
    <n v="18.5"/>
    <x v="75"/>
  </r>
  <r>
    <x v="2"/>
    <x v="18"/>
    <x v="3"/>
    <x v="0"/>
    <x v="88"/>
    <n v="1.19"/>
    <n v="18.399999999999999"/>
    <x v="75"/>
  </r>
  <r>
    <x v="0"/>
    <x v="21"/>
    <x v="1"/>
    <x v="1"/>
    <x v="89"/>
    <n v="1.18"/>
    <n v="48.2"/>
    <x v="76"/>
  </r>
  <r>
    <x v="1"/>
    <x v="21"/>
    <x v="1"/>
    <x v="1"/>
    <x v="90"/>
    <n v="1.21"/>
    <n v="47.8"/>
    <x v="77"/>
  </r>
  <r>
    <x v="4"/>
    <x v="8"/>
    <x v="3"/>
    <x v="0"/>
    <x v="91"/>
    <n v="0.56999999999999995"/>
    <n v="17.899999999999999"/>
    <x v="77"/>
  </r>
  <r>
    <x v="3"/>
    <x v="19"/>
    <x v="4"/>
    <x v="0"/>
    <x v="91"/>
    <n v="1.18"/>
    <n v="17.899999999999999"/>
    <x v="77"/>
  </r>
  <r>
    <x v="3"/>
    <x v="17"/>
    <x v="3"/>
    <x v="0"/>
    <x v="92"/>
    <n v="0.9"/>
    <n v="17.600000000000001"/>
    <x v="78"/>
  </r>
  <r>
    <x v="2"/>
    <x v="21"/>
    <x v="1"/>
    <x v="1"/>
    <x v="93"/>
    <n v="2"/>
    <n v="46.8"/>
    <x v="78"/>
  </r>
  <r>
    <x v="1"/>
    <x v="20"/>
    <x v="0"/>
    <x v="2"/>
    <x v="94"/>
    <n v="0.81"/>
    <n v="34.299999999999997"/>
    <x v="79"/>
  </r>
  <r>
    <x v="3"/>
    <x v="21"/>
    <x v="1"/>
    <x v="1"/>
    <x v="95"/>
    <n v="1.45"/>
    <n v="44.9"/>
    <x v="80"/>
  </r>
  <r>
    <x v="4"/>
    <x v="15"/>
    <x v="1"/>
    <x v="1"/>
    <x v="96"/>
    <n v="-0.28999999999999998"/>
    <n v="44.4"/>
    <x v="81"/>
  </r>
  <r>
    <x v="2"/>
    <x v="20"/>
    <x v="0"/>
    <x v="2"/>
    <x v="97"/>
    <n v="1.36"/>
    <n v="32.5"/>
    <x v="82"/>
  </r>
  <r>
    <x v="4"/>
    <x v="17"/>
    <x v="3"/>
    <x v="0"/>
    <x v="98"/>
    <n v="0.33"/>
    <n v="16.100000000000001"/>
    <x v="83"/>
  </r>
  <r>
    <x v="4"/>
    <x v="18"/>
    <x v="3"/>
    <x v="0"/>
    <x v="99"/>
    <n v="0.22"/>
    <n v="16"/>
    <x v="83"/>
  </r>
  <r>
    <x v="4"/>
    <x v="14"/>
    <x v="3"/>
    <x v="0"/>
    <x v="100"/>
    <n v="0.56000000000000005"/>
    <n v="15.6"/>
    <x v="84"/>
  </r>
  <r>
    <x v="1"/>
    <x v="22"/>
    <x v="0"/>
    <x v="1"/>
    <x v="101"/>
    <n v="0.83"/>
    <n v="40.700000000000003"/>
    <x v="85"/>
  </r>
  <r>
    <x v="3"/>
    <x v="20"/>
    <x v="0"/>
    <x v="2"/>
    <x v="102"/>
    <n v="1.33"/>
    <n v="29.9"/>
    <x v="86"/>
  </r>
  <r>
    <x v="0"/>
    <x v="22"/>
    <x v="0"/>
    <x v="1"/>
    <x v="103"/>
    <n v="1.17"/>
    <n v="39.6"/>
    <x v="86"/>
  </r>
  <r>
    <x v="0"/>
    <x v="23"/>
    <x v="3"/>
    <x v="1"/>
    <x v="104"/>
    <n v="1.27"/>
    <n v="38.799999999999997"/>
    <x v="87"/>
  </r>
  <r>
    <x v="3"/>
    <x v="22"/>
    <x v="0"/>
    <x v="1"/>
    <x v="105"/>
    <n v="1.19"/>
    <n v="38.1"/>
    <x v="88"/>
  </r>
  <r>
    <x v="1"/>
    <x v="23"/>
    <x v="3"/>
    <x v="1"/>
    <x v="106"/>
    <n v="1.06"/>
    <n v="38.1"/>
    <x v="88"/>
  </r>
  <r>
    <x v="0"/>
    <x v="24"/>
    <x v="2"/>
    <x v="0"/>
    <x v="107"/>
    <n v="-1.81"/>
    <n v="14.2"/>
    <x v="88"/>
  </r>
  <r>
    <x v="4"/>
    <x v="20"/>
    <x v="0"/>
    <x v="2"/>
    <x v="108"/>
    <n v="0.16"/>
    <n v="28.1"/>
    <x v="89"/>
  </r>
  <r>
    <x v="4"/>
    <x v="22"/>
    <x v="0"/>
    <x v="1"/>
    <x v="109"/>
    <n v="0.52"/>
    <n v="37"/>
    <x v="89"/>
  </r>
  <r>
    <x v="2"/>
    <x v="22"/>
    <x v="0"/>
    <x v="1"/>
    <x v="110"/>
    <n v="0.7"/>
    <n v="36.799999999999997"/>
    <x v="90"/>
  </r>
  <r>
    <x v="4"/>
    <x v="19"/>
    <x v="4"/>
    <x v="0"/>
    <x v="111"/>
    <n v="0.37"/>
    <n v="13.7"/>
    <x v="90"/>
  </r>
  <r>
    <x v="1"/>
    <x v="24"/>
    <x v="2"/>
    <x v="0"/>
    <x v="112"/>
    <n v="0.79"/>
    <n v="13.1"/>
    <x v="91"/>
  </r>
  <r>
    <x v="4"/>
    <x v="9"/>
    <x v="3"/>
    <x v="0"/>
    <x v="113"/>
    <n v="0.11"/>
    <n v="13.1"/>
    <x v="91"/>
  </r>
  <r>
    <x v="0"/>
    <x v="25"/>
    <x v="2"/>
    <x v="0"/>
    <x v="114"/>
    <n v="0.56000000000000005"/>
    <n v="12.9"/>
    <x v="92"/>
  </r>
  <r>
    <x v="2"/>
    <x v="23"/>
    <x v="3"/>
    <x v="1"/>
    <x v="115"/>
    <n v="1.02"/>
    <n v="33.4"/>
    <x v="93"/>
  </r>
  <r>
    <x v="1"/>
    <x v="25"/>
    <x v="2"/>
    <x v="0"/>
    <x v="116"/>
    <n v="0.53"/>
    <n v="12"/>
    <x v="94"/>
  </r>
  <r>
    <x v="2"/>
    <x v="24"/>
    <x v="2"/>
    <x v="0"/>
    <x v="117"/>
    <n v="0.81"/>
    <n v="11.7"/>
    <x v="95"/>
  </r>
  <r>
    <x v="4"/>
    <x v="21"/>
    <x v="1"/>
    <x v="1"/>
    <x v="118"/>
    <n v="-0.04"/>
    <n v="30.6"/>
    <x v="95"/>
  </r>
  <r>
    <x v="3"/>
    <x v="23"/>
    <x v="3"/>
    <x v="1"/>
    <x v="119"/>
    <n v="0.85"/>
    <n v="30.1"/>
    <x v="96"/>
  </r>
  <r>
    <x v="2"/>
    <x v="25"/>
    <x v="2"/>
    <x v="0"/>
    <x v="120"/>
    <n v="0.32"/>
    <n v="11.2"/>
    <x v="96"/>
  </r>
  <r>
    <x v="4"/>
    <x v="12"/>
    <x v="3"/>
    <x v="0"/>
    <x v="121"/>
    <n v="0.2"/>
    <n v="10.7"/>
    <x v="97"/>
  </r>
  <r>
    <x v="3"/>
    <x v="24"/>
    <x v="2"/>
    <x v="0"/>
    <x v="122"/>
    <n v="0.36"/>
    <n v="10.3"/>
    <x v="98"/>
  </r>
  <r>
    <x v="3"/>
    <x v="25"/>
    <x v="2"/>
    <x v="0"/>
    <x v="123"/>
    <n v="0.83"/>
    <n v="9.9"/>
    <x v="99"/>
  </r>
  <r>
    <x v="4"/>
    <x v="16"/>
    <x v="3"/>
    <x v="0"/>
    <x v="124"/>
    <n v="0.23"/>
    <n v="9.1999999999999993"/>
    <x v="100"/>
  </r>
  <r>
    <x v="1"/>
    <x v="26"/>
    <x v="1"/>
    <x v="0"/>
    <x v="125"/>
    <n v="0.63"/>
    <n v="8.6"/>
    <x v="101"/>
  </r>
  <r>
    <x v="0"/>
    <x v="26"/>
    <x v="1"/>
    <x v="0"/>
    <x v="126"/>
    <n v="-0.28999999999999998"/>
    <n v="8.5"/>
    <x v="101"/>
  </r>
  <r>
    <x v="4"/>
    <x v="25"/>
    <x v="2"/>
    <x v="0"/>
    <x v="127"/>
    <n v="0.02"/>
    <n v="8.5"/>
    <x v="101"/>
  </r>
  <r>
    <x v="2"/>
    <x v="26"/>
    <x v="1"/>
    <x v="0"/>
    <x v="128"/>
    <n v="0.49"/>
    <n v="8.3000000000000007"/>
    <x v="102"/>
  </r>
  <r>
    <x v="4"/>
    <x v="24"/>
    <x v="2"/>
    <x v="0"/>
    <x v="129"/>
    <n v="0.22"/>
    <n v="7.8"/>
    <x v="103"/>
  </r>
  <r>
    <x v="4"/>
    <x v="23"/>
    <x v="3"/>
    <x v="1"/>
    <x v="130"/>
    <n v="0.27"/>
    <n v="20.7"/>
    <x v="104"/>
  </r>
  <r>
    <x v="1"/>
    <x v="27"/>
    <x v="3"/>
    <x v="1"/>
    <x v="131"/>
    <n v="0.56000000000000005"/>
    <n v="20.5"/>
    <x v="104"/>
  </r>
  <r>
    <x v="0"/>
    <x v="27"/>
    <x v="3"/>
    <x v="1"/>
    <x v="132"/>
    <n v="0.36"/>
    <n v="20.100000000000001"/>
    <x v="104"/>
  </r>
  <r>
    <x v="3"/>
    <x v="26"/>
    <x v="1"/>
    <x v="0"/>
    <x v="133"/>
    <n v="0.6"/>
    <n v="7.4"/>
    <x v="105"/>
  </r>
  <r>
    <x v="0"/>
    <x v="28"/>
    <x v="4"/>
    <x v="1"/>
    <x v="134"/>
    <n v="0.6"/>
    <n v="19.399999999999999"/>
    <x v="105"/>
  </r>
  <r>
    <x v="1"/>
    <x v="28"/>
    <x v="4"/>
    <x v="1"/>
    <x v="135"/>
    <n v="0.62"/>
    <n v="17.600000000000001"/>
    <x v="106"/>
  </r>
  <r>
    <x v="2"/>
    <x v="27"/>
    <x v="3"/>
    <x v="1"/>
    <x v="136"/>
    <n v="0.43"/>
    <n v="17.5"/>
    <x v="106"/>
  </r>
  <r>
    <x v="4"/>
    <x v="26"/>
    <x v="1"/>
    <x v="0"/>
    <x v="137"/>
    <n v="-0.25"/>
    <n v="6.3"/>
    <x v="106"/>
  </r>
  <r>
    <x v="2"/>
    <x v="28"/>
    <x v="4"/>
    <x v="1"/>
    <x v="138"/>
    <n v="0.54"/>
    <n v="16.899999999999999"/>
    <x v="106"/>
  </r>
  <r>
    <x v="3"/>
    <x v="27"/>
    <x v="3"/>
    <x v="1"/>
    <x v="139"/>
    <n v="0.45"/>
    <n v="15.8"/>
    <x v="107"/>
  </r>
  <r>
    <x v="3"/>
    <x v="28"/>
    <x v="4"/>
    <x v="1"/>
    <x v="140"/>
    <n v="0.51"/>
    <n v="15.6"/>
    <x v="107"/>
  </r>
  <r>
    <x v="4"/>
    <x v="28"/>
    <x v="4"/>
    <x v="1"/>
    <x v="141"/>
    <n v="-0.05"/>
    <n v="12.8"/>
    <x v="108"/>
  </r>
  <r>
    <x v="0"/>
    <x v="29"/>
    <x v="2"/>
    <x v="0"/>
    <x v="142"/>
    <n v="-0.71"/>
    <n v="4.7"/>
    <x v="108"/>
  </r>
  <r>
    <x v="4"/>
    <x v="27"/>
    <x v="3"/>
    <x v="1"/>
    <x v="143"/>
    <n v="-0.02"/>
    <n v="6.3"/>
    <x v="109"/>
  </r>
  <r>
    <x v="1"/>
    <x v="29"/>
    <x v="2"/>
    <x v="0"/>
    <x v="144"/>
    <n v="0.05"/>
    <n v="2.2000000000000002"/>
    <x v="109"/>
  </r>
  <r>
    <x v="2"/>
    <x v="29"/>
    <x v="2"/>
    <x v="0"/>
    <x v="145"/>
    <n v="0"/>
    <n v="0.8"/>
    <x v="110"/>
  </r>
  <r>
    <x v="3"/>
    <x v="29"/>
    <x v="2"/>
    <x v="0"/>
    <x v="146"/>
    <n v="0"/>
    <n v="0"/>
    <x v="11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6AB3541-9050-473F-9A6C-CE19F1BBB37D}"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9" firstHeaderRow="1" firstDataRow="1" firstDataCol="1"/>
  <pivotFields count="8">
    <pivotField showAll="0">
      <items count="6">
        <item x="4"/>
        <item x="3"/>
        <item x="2"/>
        <item x="1"/>
        <item x="0"/>
        <item t="default"/>
      </items>
    </pivotField>
    <pivotField showAll="0">
      <items count="31">
        <item x="26"/>
        <item x="9"/>
        <item x="4"/>
        <item x="27"/>
        <item x="20"/>
        <item x="2"/>
        <item x="13"/>
        <item x="28"/>
        <item x="16"/>
        <item x="12"/>
        <item x="8"/>
        <item x="0"/>
        <item x="21"/>
        <item x="5"/>
        <item x="25"/>
        <item x="6"/>
        <item x="23"/>
        <item x="18"/>
        <item x="22"/>
        <item x="17"/>
        <item x="19"/>
        <item x="3"/>
        <item x="11"/>
        <item x="29"/>
        <item x="15"/>
        <item x="24"/>
        <item x="14"/>
        <item x="7"/>
        <item x="10"/>
        <item x="1"/>
        <item t="default"/>
      </items>
    </pivotField>
    <pivotField axis="axisRow" showAll="0">
      <items count="6">
        <item x="3"/>
        <item x="1"/>
        <item x="4"/>
        <item x="2"/>
        <item x="0"/>
        <item t="default"/>
      </items>
    </pivotField>
    <pivotField showAll="0">
      <items count="4">
        <item x="0"/>
        <item x="1"/>
        <item x="2"/>
        <item t="default"/>
      </items>
    </pivotField>
    <pivotField dataField="1" showAll="0"/>
    <pivotField showAll="0"/>
    <pivotField showAll="0"/>
    <pivotField showAll="0"/>
  </pivotFields>
  <rowFields count="1">
    <field x="2"/>
  </rowFields>
  <rowItems count="6">
    <i>
      <x/>
    </i>
    <i>
      <x v="1"/>
    </i>
    <i>
      <x v="2"/>
    </i>
    <i>
      <x v="3"/>
    </i>
    <i>
      <x v="4"/>
    </i>
    <i t="grand">
      <x/>
    </i>
  </rowItems>
  <colItems count="1">
    <i/>
  </colItems>
  <dataFields count="1">
    <dataField name="Sum of revenue_usd_bn" fld="4" baseField="0" baseItem="0"/>
  </dataFields>
  <formats count="1">
    <format dxfId="285">
      <pivotArea collapsedLevelsAreSubtotals="1" fieldPosition="0">
        <references count="1">
          <reference field="2" count="0"/>
        </references>
      </pivotArea>
    </format>
  </formats>
  <chartFormats count="12">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2" count="1" selected="0">
            <x v="0"/>
          </reference>
        </references>
      </pivotArea>
    </chartFormat>
    <chartFormat chart="2" format="2">
      <pivotArea type="data" outline="0" fieldPosition="0">
        <references count="2">
          <reference field="4294967294" count="1" selected="0">
            <x v="0"/>
          </reference>
          <reference field="2" count="1" selected="0">
            <x v="1"/>
          </reference>
        </references>
      </pivotArea>
    </chartFormat>
    <chartFormat chart="2" format="3">
      <pivotArea type="data" outline="0" fieldPosition="0">
        <references count="2">
          <reference field="4294967294" count="1" selected="0">
            <x v="0"/>
          </reference>
          <reference field="2" count="1" selected="0">
            <x v="2"/>
          </reference>
        </references>
      </pivotArea>
    </chartFormat>
    <chartFormat chart="2" format="4">
      <pivotArea type="data" outline="0" fieldPosition="0">
        <references count="2">
          <reference field="4294967294" count="1" selected="0">
            <x v="0"/>
          </reference>
          <reference field="2" count="1" selected="0">
            <x v="4"/>
          </reference>
        </references>
      </pivotArea>
    </chartFormat>
    <chartFormat chart="2" format="5">
      <pivotArea type="data" outline="0" fieldPosition="0">
        <references count="2">
          <reference field="4294967294" count="1" selected="0">
            <x v="0"/>
          </reference>
          <reference field="2" count="1" selected="0">
            <x v="3"/>
          </reference>
        </references>
      </pivotArea>
    </chartFormat>
    <chartFormat chart="6" format="24" series="1">
      <pivotArea type="data" outline="0" fieldPosition="0">
        <references count="1">
          <reference field="4294967294" count="1" selected="0">
            <x v="0"/>
          </reference>
        </references>
      </pivotArea>
    </chartFormat>
    <chartFormat chart="6" format="25">
      <pivotArea type="data" outline="0" fieldPosition="0">
        <references count="2">
          <reference field="4294967294" count="1" selected="0">
            <x v="0"/>
          </reference>
          <reference field="2" count="1" selected="0">
            <x v="0"/>
          </reference>
        </references>
      </pivotArea>
    </chartFormat>
    <chartFormat chart="6" format="26">
      <pivotArea type="data" outline="0" fieldPosition="0">
        <references count="2">
          <reference field="4294967294" count="1" selected="0">
            <x v="0"/>
          </reference>
          <reference field="2" count="1" selected="0">
            <x v="1"/>
          </reference>
        </references>
      </pivotArea>
    </chartFormat>
    <chartFormat chart="6" format="27">
      <pivotArea type="data" outline="0" fieldPosition="0">
        <references count="2">
          <reference field="4294967294" count="1" selected="0">
            <x v="0"/>
          </reference>
          <reference field="2" count="1" selected="0">
            <x v="2"/>
          </reference>
        </references>
      </pivotArea>
    </chartFormat>
    <chartFormat chart="6" format="28">
      <pivotArea type="data" outline="0" fieldPosition="0">
        <references count="2">
          <reference field="4294967294" count="1" selected="0">
            <x v="0"/>
          </reference>
          <reference field="2" count="1" selected="0">
            <x v="3"/>
          </reference>
        </references>
      </pivotArea>
    </chartFormat>
    <chartFormat chart="6" format="29">
      <pivotArea type="data" outline="0" fieldPosition="0">
        <references count="2">
          <reference field="4294967294" count="1" selected="0">
            <x v="0"/>
          </reference>
          <reference field="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2565D2B-AA2F-41D8-BB75-A821EAA95CE1}"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10:A11" firstHeaderRow="1" firstDataRow="1" firstDataCol="0"/>
  <pivotFields count="8">
    <pivotField showAll="0">
      <items count="6">
        <item x="4"/>
        <item x="3"/>
        <item x="2"/>
        <item x="1"/>
        <item x="0"/>
        <item t="default"/>
      </items>
    </pivotField>
    <pivotField showAll="0">
      <items count="31">
        <item x="26"/>
        <item x="9"/>
        <item x="4"/>
        <item x="27"/>
        <item x="20"/>
        <item x="2"/>
        <item x="13"/>
        <item x="28"/>
        <item x="16"/>
        <item x="12"/>
        <item x="8"/>
        <item x="0"/>
        <item x="21"/>
        <item x="5"/>
        <item x="25"/>
        <item x="6"/>
        <item x="23"/>
        <item x="18"/>
        <item x="22"/>
        <item x="17"/>
        <item x="19"/>
        <item x="3"/>
        <item x="11"/>
        <item x="29"/>
        <item x="15"/>
        <item x="24"/>
        <item x="14"/>
        <item x="7"/>
        <item x="10"/>
        <item x="1"/>
        <item t="default"/>
      </items>
    </pivotField>
    <pivotField showAll="0">
      <items count="6">
        <item x="3"/>
        <item x="1"/>
        <item x="4"/>
        <item x="2"/>
        <item x="0"/>
        <item t="default"/>
      </items>
    </pivotField>
    <pivotField showAll="0">
      <items count="4">
        <item x="0"/>
        <item x="1"/>
        <item x="2"/>
        <item t="default"/>
      </items>
    </pivotField>
    <pivotField showAll="0">
      <items count="148">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showAll="0"/>
    <pivotField dataField="1" showAll="0"/>
    <pivotField showAll="0"/>
  </pivotFields>
  <rowItems count="1">
    <i/>
  </rowItems>
  <colItems count="1">
    <i/>
  </colItems>
  <dataFields count="1">
    <dataField name="Sum of passengers_carried_m" fld="6" baseField="0" baseItem="0"/>
  </dataFields>
  <formats count="1">
    <format dxfId="27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7D70AFD-039F-4177-B586-0E6FDA624A81}"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7:A8" firstHeaderRow="1" firstDataRow="1" firstDataCol="0"/>
  <pivotFields count="8">
    <pivotField showAll="0">
      <items count="6">
        <item x="4"/>
        <item x="3"/>
        <item x="2"/>
        <item x="1"/>
        <item x="0"/>
        <item t="default"/>
      </items>
    </pivotField>
    <pivotField showAll="0">
      <items count="31">
        <item x="26"/>
        <item x="9"/>
        <item x="4"/>
        <item x="27"/>
        <item x="20"/>
        <item x="2"/>
        <item x="13"/>
        <item x="28"/>
        <item x="16"/>
        <item x="12"/>
        <item x="8"/>
        <item x="0"/>
        <item x="21"/>
        <item x="5"/>
        <item x="25"/>
        <item x="6"/>
        <item x="23"/>
        <item x="18"/>
        <item x="22"/>
        <item x="17"/>
        <item x="19"/>
        <item x="3"/>
        <item x="11"/>
        <item x="29"/>
        <item x="15"/>
        <item x="24"/>
        <item x="14"/>
        <item x="7"/>
        <item x="10"/>
        <item x="1"/>
        <item t="default"/>
      </items>
    </pivotField>
    <pivotField showAll="0">
      <items count="6">
        <item x="3"/>
        <item x="1"/>
        <item x="4"/>
        <item x="2"/>
        <item x="0"/>
        <item t="default"/>
      </items>
    </pivotField>
    <pivotField showAll="0">
      <items count="4">
        <item x="0"/>
        <item x="1"/>
        <item x="2"/>
        <item t="default"/>
      </items>
    </pivotField>
    <pivotField showAll="0">
      <items count="148">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dataField="1" showAll="0"/>
    <pivotField showAll="0"/>
    <pivotField showAll="0"/>
  </pivotFields>
  <rowItems count="1">
    <i/>
  </rowItems>
  <colItems count="1">
    <i/>
  </colItems>
  <dataFields count="1">
    <dataField name="Sum of operating_income_usd_bn" fld="5" baseField="0" baseItem="0"/>
  </dataFields>
  <formats count="1">
    <format dxfId="27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C15CBD8-F415-4EF6-B1B3-EC031BB2A00F}"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A4" firstHeaderRow="1" firstDataRow="1" firstDataCol="0"/>
  <pivotFields count="8">
    <pivotField showAll="0">
      <items count="6">
        <item x="4"/>
        <item x="3"/>
        <item x="2"/>
        <item x="1"/>
        <item x="0"/>
        <item t="default"/>
      </items>
    </pivotField>
    <pivotField showAll="0">
      <items count="31">
        <item x="26"/>
        <item x="9"/>
        <item x="4"/>
        <item x="27"/>
        <item x="20"/>
        <item x="2"/>
        <item x="13"/>
        <item x="28"/>
        <item x="16"/>
        <item x="12"/>
        <item x="8"/>
        <item x="0"/>
        <item x="21"/>
        <item x="5"/>
        <item x="25"/>
        <item x="6"/>
        <item x="23"/>
        <item x="18"/>
        <item x="22"/>
        <item x="17"/>
        <item x="19"/>
        <item x="3"/>
        <item x="11"/>
        <item x="29"/>
        <item x="15"/>
        <item x="24"/>
        <item x="14"/>
        <item x="7"/>
        <item x="10"/>
        <item x="1"/>
        <item t="default"/>
      </items>
    </pivotField>
    <pivotField showAll="0">
      <items count="6">
        <item x="3"/>
        <item x="1"/>
        <item x="4"/>
        <item x="2"/>
        <item x="0"/>
        <item t="default"/>
      </items>
    </pivotField>
    <pivotField showAll="0">
      <items count="4">
        <item x="0"/>
        <item x="1"/>
        <item x="2"/>
        <item t="default"/>
      </items>
    </pivotField>
    <pivotField dataField="1" showAll="0">
      <items count="148">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showAll="0"/>
    <pivotField showAll="0"/>
    <pivotField showAll="0"/>
  </pivotFields>
  <rowItems count="1">
    <i/>
  </rowItems>
  <colItems count="1">
    <i/>
  </colItems>
  <dataFields count="1">
    <dataField name="Sum of revenue_usd_bn" fld="4" baseField="0" baseItem="0" numFmtId="2"/>
  </dataFields>
  <formats count="1">
    <format dxfId="275">
      <pivotArea outline="0" collapsedLevelsAreSubtotals="1" fieldPosition="0"/>
    </format>
  </formats>
  <chartFormats count="2">
    <chartFormat chart="2" format="0" series="1">
      <pivotArea type="data" outline="0" fieldPosition="0">
        <references count="1">
          <reference field="4294967294" count="1" selected="0">
            <x v="0"/>
          </reference>
        </references>
      </pivotArea>
    </chartFormat>
    <chartFormat chart="6" format="2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83FCC3A-3015-4558-B746-8DAB34C1B2C6}"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Airliners">
  <location ref="A1:C32" firstHeaderRow="0" firstDataRow="1" firstDataCol="1"/>
  <pivotFields count="8">
    <pivotField showAll="0">
      <items count="6">
        <item x="4"/>
        <item x="3"/>
        <item x="2"/>
        <item x="1"/>
        <item x="0"/>
        <item t="default"/>
      </items>
    </pivotField>
    <pivotField axis="axisRow" showAll="0" sortType="descending">
      <items count="31">
        <item x="26"/>
        <item x="9"/>
        <item x="4"/>
        <item x="27"/>
        <item x="20"/>
        <item x="2"/>
        <item x="13"/>
        <item x="28"/>
        <item x="16"/>
        <item x="12"/>
        <item x="8"/>
        <item x="0"/>
        <item x="21"/>
        <item x="5"/>
        <item x="25"/>
        <item x="6"/>
        <item x="23"/>
        <item x="18"/>
        <item x="22"/>
        <item x="17"/>
        <item x="19"/>
        <item x="3"/>
        <item x="11"/>
        <item x="29"/>
        <item x="15"/>
        <item x="24"/>
        <item x="14"/>
        <item x="7"/>
        <item x="10"/>
        <item x="1"/>
        <item t="default"/>
      </items>
      <autoSortScope>
        <pivotArea dataOnly="0" outline="0" fieldPosition="0">
          <references count="1">
            <reference field="4294967294" count="1" selected="0">
              <x v="0"/>
            </reference>
          </references>
        </pivotArea>
      </autoSortScope>
    </pivotField>
    <pivotField showAll="0">
      <items count="6">
        <item x="3"/>
        <item x="1"/>
        <item x="4"/>
        <item x="2"/>
        <item x="0"/>
        <item t="default"/>
      </items>
    </pivotField>
    <pivotField showAll="0"/>
    <pivotField dataField="1" showAll="0"/>
    <pivotField dataField="1" showAll="0"/>
    <pivotField showAll="0"/>
    <pivotField showAll="0"/>
  </pivotFields>
  <rowFields count="1">
    <field x="1"/>
  </rowFields>
  <rowItems count="31">
    <i>
      <x v="11"/>
    </i>
    <i>
      <x v="29"/>
    </i>
    <i>
      <x v="5"/>
    </i>
    <i>
      <x v="21"/>
    </i>
    <i>
      <x v="2"/>
    </i>
    <i>
      <x v="15"/>
    </i>
    <i>
      <x v="13"/>
    </i>
    <i>
      <x v="27"/>
    </i>
    <i>
      <x v="28"/>
    </i>
    <i>
      <x v="10"/>
    </i>
    <i>
      <x v="22"/>
    </i>
    <i>
      <x v="1"/>
    </i>
    <i>
      <x v="6"/>
    </i>
    <i>
      <x v="9"/>
    </i>
    <i>
      <x v="26"/>
    </i>
    <i>
      <x v="24"/>
    </i>
    <i>
      <x v="17"/>
    </i>
    <i>
      <x v="19"/>
    </i>
    <i>
      <x v="8"/>
    </i>
    <i>
      <x v="20"/>
    </i>
    <i>
      <x v="4"/>
    </i>
    <i>
      <x v="12"/>
    </i>
    <i>
      <x v="18"/>
    </i>
    <i>
      <x v="16"/>
    </i>
    <i>
      <x v="25"/>
    </i>
    <i>
      <x v="14"/>
    </i>
    <i>
      <x/>
    </i>
    <i>
      <x v="7"/>
    </i>
    <i>
      <x v="3"/>
    </i>
    <i>
      <x v="23"/>
    </i>
    <i t="grand">
      <x/>
    </i>
  </rowItems>
  <colFields count="1">
    <field x="-2"/>
  </colFields>
  <colItems count="2">
    <i>
      <x/>
    </i>
    <i i="1">
      <x v="1"/>
    </i>
  </colItems>
  <dataFields count="2">
    <dataField name="Revenue" fld="4" baseField="0" baseItem="0"/>
    <dataField name="Op. Revenue" fld="5" baseField="0" baseItem="0"/>
  </dataFields>
  <formats count="4">
    <format dxfId="280">
      <pivotArea field="1" type="button" dataOnly="0" labelOnly="1" outline="0" axis="axisRow" fieldPosition="0"/>
    </format>
    <format dxfId="281">
      <pivotArea dataOnly="0" labelOnly="1" outline="0" fieldPosition="0">
        <references count="1">
          <reference field="4294967294" count="2">
            <x v="0"/>
            <x v="1"/>
          </reference>
        </references>
      </pivotArea>
    </format>
    <format dxfId="282">
      <pivotArea field="1" grandRow="1" outline="0" collapsedLevelsAreSubtotals="1" axis="axisRow" fieldPosition="0">
        <references count="1">
          <reference field="4294967294" count="1" selected="0">
            <x v="0"/>
          </reference>
        </references>
      </pivotArea>
    </format>
    <format dxfId="283">
      <pivotArea field="1" grandRow="1" outline="0" collapsedLevelsAreSubtotals="1" axis="axisRow" fieldPosition="0">
        <references count="1">
          <reference field="4294967294" count="1" selected="0">
            <x v="1"/>
          </reference>
        </references>
      </pivotArea>
    </format>
  </formats>
  <conditionalFormats count="1">
    <conditionalFormat type="all" priority="2">
      <pivotAreas count="1">
        <pivotArea type="data" collapsedLevelsAreSubtotals="1" fieldPosition="0">
          <references count="2">
            <reference field="4294967294" count="1" selected="0">
              <x v="0"/>
            </reference>
            <reference field="1" count="30">
              <x v="0"/>
              <x v="1"/>
              <x v="2"/>
              <x v="3"/>
              <x v="4"/>
              <x v="5"/>
              <x v="6"/>
              <x v="7"/>
              <x v="8"/>
              <x v="9"/>
              <x v="10"/>
              <x v="11"/>
              <x v="12"/>
              <x v="13"/>
              <x v="14"/>
              <x v="15"/>
              <x v="16"/>
              <x v="17"/>
              <x v="18"/>
              <x v="19"/>
              <x v="20"/>
              <x v="21"/>
              <x v="22"/>
              <x v="23"/>
              <x v="24"/>
              <x v="25"/>
              <x v="26"/>
              <x v="27"/>
              <x v="28"/>
              <x v="29"/>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D7ACD3C-D1F4-45B5-8611-A196F444DBF0}" name="PivotTable1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Airline">
  <location ref="A2:B8" firstHeaderRow="1" firstDataRow="1" firstDataCol="1"/>
  <pivotFields count="8">
    <pivotField showAll="0">
      <items count="6">
        <item x="4"/>
        <item x="3"/>
        <item x="2"/>
        <item x="1"/>
        <item x="0"/>
        <item t="default"/>
      </items>
    </pivotField>
    <pivotField showAll="0">
      <items count="31">
        <item x="26"/>
        <item x="9"/>
        <item x="4"/>
        <item x="27"/>
        <item x="20"/>
        <item x="2"/>
        <item x="13"/>
        <item x="28"/>
        <item x="16"/>
        <item x="12"/>
        <item x="8"/>
        <item x="0"/>
        <item x="21"/>
        <item x="5"/>
        <item x="25"/>
        <item x="6"/>
        <item x="23"/>
        <item x="18"/>
        <item x="22"/>
        <item x="17"/>
        <item x="19"/>
        <item x="3"/>
        <item x="11"/>
        <item x="29"/>
        <item x="15"/>
        <item x="24"/>
        <item x="14"/>
        <item x="7"/>
        <item x="10"/>
        <item x="1"/>
        <item t="default"/>
      </items>
    </pivotField>
    <pivotField axis="axisRow" showAll="0" sortType="ascending">
      <items count="6">
        <item x="3"/>
        <item x="1"/>
        <item x="4"/>
        <item x="2"/>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showAll="0"/>
  </pivotFields>
  <rowFields count="1">
    <field x="2"/>
  </rowFields>
  <rowItems count="6">
    <i>
      <x v="2"/>
    </i>
    <i>
      <x v="3"/>
    </i>
    <i>
      <x/>
    </i>
    <i>
      <x v="1"/>
    </i>
    <i>
      <x v="4"/>
    </i>
    <i t="grand">
      <x/>
    </i>
  </rowItems>
  <colItems count="1">
    <i/>
  </colItems>
  <dataFields count="1">
    <dataField name="Passenger" fld="6" baseField="0" baseItem="0"/>
  </dataFields>
  <formats count="3">
    <format dxfId="276">
      <pivotArea field="2" type="button" dataOnly="0" labelOnly="1" outline="0" axis="axisRow" fieldPosition="0"/>
    </format>
    <format dxfId="277">
      <pivotArea dataOnly="0" labelOnly="1" outline="0" axis="axisValues" fieldPosition="0"/>
    </format>
    <format dxfId="278">
      <pivotArea grandRow="1"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6415BE0-CD03-46B5-A78B-AFCDA128A87F}"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rowHeaderCaption="Model">
  <location ref="A1:B5" firstHeaderRow="1" firstDataRow="1" firstDataCol="1"/>
  <pivotFields count="8">
    <pivotField showAll="0">
      <items count="6">
        <item x="4"/>
        <item x="3"/>
        <item x="2"/>
        <item x="1"/>
        <item x="0"/>
        <item t="default"/>
      </items>
    </pivotField>
    <pivotField showAll="0">
      <items count="31">
        <item x="26"/>
        <item x="9"/>
        <item x="4"/>
        <item x="27"/>
        <item x="20"/>
        <item x="2"/>
        <item x="13"/>
        <item x="28"/>
        <item x="16"/>
        <item x="12"/>
        <item x="8"/>
        <item x="0"/>
        <item x="21"/>
        <item x="5"/>
        <item x="25"/>
        <item x="6"/>
        <item x="23"/>
        <item x="18"/>
        <item x="22"/>
        <item x="17"/>
        <item x="19"/>
        <item x="3"/>
        <item x="11"/>
        <item x="29"/>
        <item x="15"/>
        <item x="24"/>
        <item x="14"/>
        <item x="7"/>
        <item x="10"/>
        <item x="1"/>
        <item t="default"/>
      </items>
    </pivotField>
    <pivotField showAll="0">
      <items count="6">
        <item x="3"/>
        <item x="1"/>
        <item x="4"/>
        <item x="2"/>
        <item x="0"/>
        <item t="default"/>
      </items>
    </pivotField>
    <pivotField axis="axisRow" showAll="0">
      <items count="4">
        <item x="0"/>
        <item x="1"/>
        <item x="2"/>
        <item t="default"/>
      </items>
    </pivotField>
    <pivotField showAll="0"/>
    <pivotField showAll="0"/>
    <pivotField dataField="1" showAll="0"/>
    <pivotField showAll="0"/>
  </pivotFields>
  <rowFields count="1">
    <field x="3"/>
  </rowFields>
  <rowItems count="4">
    <i>
      <x/>
    </i>
    <i>
      <x v="1"/>
    </i>
    <i>
      <x v="2"/>
    </i>
    <i t="grand">
      <x/>
    </i>
  </rowItems>
  <colItems count="1">
    <i/>
  </colItems>
  <dataFields count="1">
    <dataField name="Passenger" fld="6" baseField="0" baseItem="0"/>
  </dataFields>
  <formats count="1">
    <format dxfId="279">
      <pivotArea collapsedLevelsAreSubtotals="1" fieldPosition="0">
        <references count="1">
          <reference field="3" count="0"/>
        </references>
      </pivotArea>
    </format>
  </formats>
  <chartFormats count="8">
    <chartFormat chart="13" format="0" series="1">
      <pivotArea type="data" outline="0" fieldPosition="0">
        <references count="1">
          <reference field="4294967294" count="1" selected="0">
            <x v="0"/>
          </reference>
        </references>
      </pivotArea>
    </chartFormat>
    <chartFormat chart="13" format="1">
      <pivotArea type="data" outline="0" fieldPosition="0">
        <references count="2">
          <reference field="4294967294" count="1" selected="0">
            <x v="0"/>
          </reference>
          <reference field="3" count="1" selected="0">
            <x v="0"/>
          </reference>
        </references>
      </pivotArea>
    </chartFormat>
    <chartFormat chart="13" format="2">
      <pivotArea type="data" outline="0" fieldPosition="0">
        <references count="2">
          <reference field="4294967294" count="1" selected="0">
            <x v="0"/>
          </reference>
          <reference field="3" count="1" selected="0">
            <x v="2"/>
          </reference>
        </references>
      </pivotArea>
    </chartFormat>
    <chartFormat chart="13" format="3">
      <pivotArea type="data" outline="0" fieldPosition="0">
        <references count="2">
          <reference field="4294967294" count="1" selected="0">
            <x v="0"/>
          </reference>
          <reference field="3" count="1" selected="0">
            <x v="1"/>
          </reference>
        </references>
      </pivotArea>
    </chartFormat>
    <chartFormat chart="15" format="8" series="1">
      <pivotArea type="data" outline="0" fieldPosition="0">
        <references count="1">
          <reference field="4294967294" count="1" selected="0">
            <x v="0"/>
          </reference>
        </references>
      </pivotArea>
    </chartFormat>
    <chartFormat chart="15" format="9">
      <pivotArea type="data" outline="0" fieldPosition="0">
        <references count="2">
          <reference field="4294967294" count="1" selected="0">
            <x v="0"/>
          </reference>
          <reference field="3" count="1" selected="0">
            <x v="0"/>
          </reference>
        </references>
      </pivotArea>
    </chartFormat>
    <chartFormat chart="15" format="10">
      <pivotArea type="data" outline="0" fieldPosition="0">
        <references count="2">
          <reference field="4294967294" count="1" selected="0">
            <x v="0"/>
          </reference>
          <reference field="3" count="1" selected="0">
            <x v="1"/>
          </reference>
        </references>
      </pivotArea>
    </chartFormat>
    <chartFormat chart="15" format="11">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A9E7261-B115-4BC9-AA94-A562A2AB26E3}"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Airline">
  <location ref="A3:G35" firstHeaderRow="1" firstDataRow="2" firstDataCol="1"/>
  <pivotFields count="8">
    <pivotField axis="axisCol" multipleItemSelectionAllowed="1" showAll="0">
      <items count="6">
        <item x="4"/>
        <item x="3"/>
        <item x="2"/>
        <item x="1"/>
        <item x="0"/>
        <item t="default"/>
      </items>
    </pivotField>
    <pivotField axis="axisRow" showAll="0" sortType="descending">
      <items count="31">
        <item x="26"/>
        <item x="9"/>
        <item x="4"/>
        <item x="27"/>
        <item x="20"/>
        <item x="2"/>
        <item x="13"/>
        <item x="28"/>
        <item x="16"/>
        <item x="12"/>
        <item x="8"/>
        <item x="0"/>
        <item x="21"/>
        <item x="5"/>
        <item x="25"/>
        <item x="6"/>
        <item x="23"/>
        <item x="18"/>
        <item x="22"/>
        <item x="17"/>
        <item x="19"/>
        <item x="3"/>
        <item x="11"/>
        <item x="29"/>
        <item x="15"/>
        <item x="24"/>
        <item x="14"/>
        <item x="7"/>
        <item x="10"/>
        <item x="1"/>
        <item t="default"/>
      </items>
      <autoSortScope>
        <pivotArea dataOnly="0" outline="0" fieldPosition="0">
          <references count="1">
            <reference field="4294967294" count="1" selected="0">
              <x v="0"/>
            </reference>
          </references>
        </pivotArea>
      </autoSortScope>
    </pivotField>
    <pivotField showAll="0">
      <items count="6">
        <item x="3"/>
        <item x="1"/>
        <item x="4"/>
        <item x="2"/>
        <item x="0"/>
        <item t="default"/>
      </items>
    </pivotField>
    <pivotField showAll="0"/>
    <pivotField dataField="1" showAll="0"/>
    <pivotField showAll="0"/>
    <pivotField showAll="0"/>
    <pivotField showAll="0">
      <items count="113">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s>
  <rowFields count="1">
    <field x="1"/>
  </rowFields>
  <rowItems count="31">
    <i>
      <x v="11"/>
    </i>
    <i>
      <x v="29"/>
    </i>
    <i>
      <x v="5"/>
    </i>
    <i>
      <x v="21"/>
    </i>
    <i>
      <x v="2"/>
    </i>
    <i>
      <x v="15"/>
    </i>
    <i>
      <x v="13"/>
    </i>
    <i>
      <x v="27"/>
    </i>
    <i>
      <x v="28"/>
    </i>
    <i>
      <x v="10"/>
    </i>
    <i>
      <x v="22"/>
    </i>
    <i>
      <x v="1"/>
    </i>
    <i>
      <x v="6"/>
    </i>
    <i>
      <x v="9"/>
    </i>
    <i>
      <x v="26"/>
    </i>
    <i>
      <x v="24"/>
    </i>
    <i>
      <x v="17"/>
    </i>
    <i>
      <x v="19"/>
    </i>
    <i>
      <x v="8"/>
    </i>
    <i>
      <x v="20"/>
    </i>
    <i>
      <x v="4"/>
    </i>
    <i>
      <x v="12"/>
    </i>
    <i>
      <x v="18"/>
    </i>
    <i>
      <x v="16"/>
    </i>
    <i>
      <x v="25"/>
    </i>
    <i>
      <x v="14"/>
    </i>
    <i>
      <x/>
    </i>
    <i>
      <x v="7"/>
    </i>
    <i>
      <x v="3"/>
    </i>
    <i>
      <x v="23"/>
    </i>
    <i t="grand">
      <x/>
    </i>
  </rowItems>
  <colFields count="1">
    <field x="0"/>
  </colFields>
  <colItems count="6">
    <i>
      <x/>
    </i>
    <i>
      <x v="1"/>
    </i>
    <i>
      <x v="2"/>
    </i>
    <i>
      <x v="3"/>
    </i>
    <i>
      <x v="4"/>
    </i>
    <i t="grand">
      <x/>
    </i>
  </colItems>
  <dataFields count="1">
    <dataField name="Revenue" fld="4" baseField="0" baseItem="0"/>
  </dataFields>
  <formats count="1">
    <format dxfId="284">
      <pivotArea field="0" dataOnly="0" labelOnly="1" grandCol="1" outline="0" axis="axisCol" fieldPosition="0">
        <references count="1">
          <reference field="4294967294" count="1" selected="0">
            <x v="0"/>
          </reference>
        </references>
      </pivotArea>
    </format>
  </formats>
  <conditionalFormats count="1">
    <conditionalFormat type="all" priority="3">
      <pivotAreas count="1">
        <pivotArea type="data" grandCol="1" collapsedLevelsAreSubtotals="1" fieldPosition="0">
          <references count="2">
            <reference field="4294967294" count="1" selected="0">
              <x v="0"/>
            </reference>
            <reference field="1" count="30">
              <x v="0"/>
              <x v="1"/>
              <x v="2"/>
              <x v="3"/>
              <x v="4"/>
              <x v="5"/>
              <x v="6"/>
              <x v="7"/>
              <x v="8"/>
              <x v="9"/>
              <x v="10"/>
              <x v="11"/>
              <x v="12"/>
              <x v="13"/>
              <x v="14"/>
              <x v="15"/>
              <x v="16"/>
              <x v="17"/>
              <x v="18"/>
              <x v="19"/>
              <x v="20"/>
              <x v="21"/>
              <x v="22"/>
              <x v="23"/>
              <x v="24"/>
              <x v="25"/>
              <x v="26"/>
              <x v="27"/>
              <x v="28"/>
              <x v="29"/>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94D4BAA0-8F1F-42DA-BACD-77317818297C}" sourceName="year">
  <pivotTables>
    <pivotTable tabId="2" name="PivotTable1"/>
    <pivotTable tabId="6" name="PivotTable5"/>
    <pivotTable tabId="3" name="PivotTable2"/>
    <pivotTable tabId="5" name="PivotTable4"/>
    <pivotTable tabId="4" name="PivotTable16"/>
    <pivotTable tabId="8" name="PivotTable1"/>
    <pivotTable tabId="8" name="PivotTable4"/>
    <pivotTable tabId="8" name="PivotTable5"/>
  </pivotTables>
  <data>
    <tabular pivotCacheId="1509321786">
      <items count="5">
        <i x="4" s="1"/>
        <i x="3" s="1"/>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irline_name" xr10:uid="{8A216FB6-F53A-414A-ACAA-A264D442A6FE}" sourceName="airline_name">
  <pivotTables>
    <pivotTable tabId="2" name="PivotTable1"/>
    <pivotTable tabId="6" name="PivotTable5"/>
    <pivotTable tabId="3" name="PivotTable2"/>
    <pivotTable tabId="5" name="PivotTable4"/>
    <pivotTable tabId="4" name="PivotTable16"/>
    <pivotTable tabId="8" name="PivotTable1"/>
    <pivotTable tabId="8" name="PivotTable4"/>
    <pivotTable tabId="8" name="PivotTable5"/>
  </pivotTables>
  <data>
    <tabular pivotCacheId="1509321786">
      <items count="30">
        <i x="26" s="1"/>
        <i x="9" s="1"/>
        <i x="4" s="1"/>
        <i x="27" s="1"/>
        <i x="20" s="1"/>
        <i x="2" s="1"/>
        <i x="13" s="1"/>
        <i x="28" s="1"/>
        <i x="16" s="1"/>
        <i x="12" s="1"/>
        <i x="8" s="1"/>
        <i x="0" s="1"/>
        <i x="21" s="1"/>
        <i x="5" s="1"/>
        <i x="25" s="1"/>
        <i x="6" s="1"/>
        <i x="23" s="1"/>
        <i x="18" s="1"/>
        <i x="22" s="1"/>
        <i x="17" s="1"/>
        <i x="19" s="1"/>
        <i x="3" s="1"/>
        <i x="11" s="1"/>
        <i x="29" s="1"/>
        <i x="15" s="1"/>
        <i x="24" s="1"/>
        <i x="14" s="1"/>
        <i x="7" s="1"/>
        <i x="1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A2CDB15-284B-494F-968E-7F858BA35455}" sourceName="region">
  <pivotTables>
    <pivotTable tabId="2" name="PivotTable1"/>
    <pivotTable tabId="8" name="PivotTable1"/>
    <pivotTable tabId="8" name="PivotTable4"/>
    <pivotTable tabId="8" name="PivotTable5"/>
    <pivotTable tabId="6" name="PivotTable5"/>
    <pivotTable tabId="3" name="PivotTable2"/>
    <pivotTable tabId="5" name="PivotTable4"/>
    <pivotTable tabId="4" name="PivotTable16"/>
  </pivotTables>
  <data>
    <tabular pivotCacheId="1509321786">
      <items count="5">
        <i x="3" s="1"/>
        <i x="1" s="1"/>
        <i x="4"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A3C8A2F3-2992-49F2-9FE5-7DE680037D58}" cache="Slicer_year" caption="year" startItem="1" style="SlicerStyleDark1" rowHeight="180000"/>
  <slicer name="airline_name" xr10:uid="{4AA0B93F-95C0-41C4-8BF2-BC650EDE5B21}" cache="Slicer_airline_name" caption="airline_name" startItem="12" columnCount="2" style="SlicerStyleDark1" rowHeight="180000"/>
  <slicer name="region" xr10:uid="{F990D318-D686-4F1B-921B-A76503EDE63D}" cache="Slicer_region" caption="region" style="SlicerStyleDark1" rowHeight="180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C0C2AA4-CC27-4B85-B420-B9ABA9DAA1C8}" name="Table1" displayName="Table1" ref="A1:H151" totalsRowCount="1">
  <autoFilter ref="A1:H150" xr:uid="{3C0C2AA4-CC27-4B85-B420-B9ABA9DAA1C8}"/>
  <tableColumns count="8">
    <tableColumn id="1" xr3:uid="{01BD7999-3D34-4824-9F9F-40623F984FF3}" name="year"/>
    <tableColumn id="2" xr3:uid="{EF16883C-2E21-48E6-AC91-F5AA94C98793}" name="airline_name"/>
    <tableColumn id="3" xr3:uid="{CC9F5BC3-93D9-4E03-9D8B-F8EFC8900D57}" name="region"/>
    <tableColumn id="4" xr3:uid="{502A7645-7B37-4003-8312-DD4CFD5DDBF8}" name="business_model"/>
    <tableColumn id="5" xr3:uid="{3C6DA360-6495-4859-ACDF-7C05E1505384}" name="revenue_usd_bn" totalsRowFunction="sum"/>
    <tableColumn id="6" xr3:uid="{EEFA5C1D-3235-4F7E-A855-8C60DB3E5F12}" name="operating_income_usd_bn" totalsRowFunction="sum" totalsRowDxfId="495"/>
    <tableColumn id="7" xr3:uid="{7F23B15C-3B09-4A78-8798-5A4C575396C0}" name="passengers_carried_m" totalsRowFunction="sum"/>
    <tableColumn id="8" xr3:uid="{E7F28370-213C-4DFF-9767-73A8A8AA0247}" name="fleet_size_es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4.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5.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6.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8.xml"/></Relationships>
</file>

<file path=xl/worksheets/_rels/sheet7.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1.xml"/><Relationship Id="rId1" Type="http://schemas.openxmlformats.org/officeDocument/2006/relationships/printerSettings" Target="../printerSettings/printerSettings1.bin"/></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5FC4E2-A203-4190-BBB1-25D6B446ECF1}">
  <dimension ref="A3:B15"/>
  <sheetViews>
    <sheetView workbookViewId="0">
      <selection activeCell="Q14" sqref="Q14"/>
    </sheetView>
  </sheetViews>
  <sheetFormatPr defaultRowHeight="14.25" x14ac:dyDescent="0.45"/>
  <cols>
    <col min="1" max="1" width="11.9296875" bestFit="1" customWidth="1"/>
    <col min="2" max="2" width="19.73046875" bestFit="1" customWidth="1"/>
  </cols>
  <sheetData>
    <row r="3" spans="1:2" x14ac:dyDescent="0.45">
      <c r="A3" s="2" t="s">
        <v>47</v>
      </c>
      <c r="B3" t="s">
        <v>46</v>
      </c>
    </row>
    <row r="4" spans="1:2" x14ac:dyDescent="0.45">
      <c r="A4" s="3" t="s">
        <v>22</v>
      </c>
      <c r="B4" s="5">
        <v>715.42</v>
      </c>
    </row>
    <row r="5" spans="1:2" x14ac:dyDescent="0.45">
      <c r="A5" s="3" t="s">
        <v>14</v>
      </c>
      <c r="B5" s="5">
        <v>801.0200000000001</v>
      </c>
    </row>
    <row r="6" spans="1:2" x14ac:dyDescent="0.45">
      <c r="A6" s="3" t="s">
        <v>34</v>
      </c>
      <c r="B6" s="5">
        <v>80.929999999999993</v>
      </c>
    </row>
    <row r="7" spans="1:2" x14ac:dyDescent="0.45">
      <c r="A7" s="3" t="s">
        <v>17</v>
      </c>
      <c r="B7" s="5">
        <v>347.39</v>
      </c>
    </row>
    <row r="8" spans="1:2" x14ac:dyDescent="0.45">
      <c r="A8" s="3" t="s">
        <v>9</v>
      </c>
      <c r="B8" s="5">
        <v>1091.8799999999999</v>
      </c>
    </row>
    <row r="9" spans="1:2" x14ac:dyDescent="0.45">
      <c r="A9" s="3" t="s">
        <v>48</v>
      </c>
      <c r="B9" s="17">
        <v>3036.6400000000003</v>
      </c>
    </row>
    <row r="11" spans="1:2" x14ac:dyDescent="0.45">
      <c r="A11" s="3"/>
    </row>
    <row r="12" spans="1:2" x14ac:dyDescent="0.45">
      <c r="A12" s="3"/>
    </row>
    <row r="13" spans="1:2" x14ac:dyDescent="0.45">
      <c r="A13" s="3"/>
    </row>
    <row r="14" spans="1:2" x14ac:dyDescent="0.45">
      <c r="A14" s="3"/>
    </row>
    <row r="15" spans="1:2" x14ac:dyDescent="0.45">
      <c r="A15" s="3"/>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97BCFA-41FE-482B-9B05-E83B27E337FD}">
  <dimension ref="A3:C11"/>
  <sheetViews>
    <sheetView workbookViewId="0">
      <selection activeCell="A14" sqref="A14"/>
    </sheetView>
  </sheetViews>
  <sheetFormatPr defaultRowHeight="14.25" x14ac:dyDescent="0.45"/>
  <cols>
    <col min="1" max="1" width="24.6640625" bestFit="1" customWidth="1"/>
    <col min="2" max="2" width="4.6640625" customWidth="1"/>
    <col min="3" max="3" width="24.06640625" customWidth="1"/>
    <col min="4" max="4" width="5.73046875" customWidth="1"/>
    <col min="5" max="5" width="24.6640625" bestFit="1" customWidth="1"/>
  </cols>
  <sheetData>
    <row r="3" spans="1:3" x14ac:dyDescent="0.45">
      <c r="A3" t="s">
        <v>46</v>
      </c>
    </row>
    <row r="4" spans="1:3" x14ac:dyDescent="0.45">
      <c r="A4" s="19">
        <v>3036.6399999999962</v>
      </c>
      <c r="B4" s="20"/>
      <c r="C4" s="20">
        <f>GETPIVOTDATA("revenue_usd_bn",$A$3)</f>
        <v>3036.6399999999962</v>
      </c>
    </row>
    <row r="5" spans="1:3" x14ac:dyDescent="0.45">
      <c r="C5" s="20"/>
    </row>
    <row r="6" spans="1:3" x14ac:dyDescent="0.45">
      <c r="C6" s="20"/>
    </row>
    <row r="7" spans="1:3" x14ac:dyDescent="0.45">
      <c r="A7" t="s">
        <v>67</v>
      </c>
      <c r="C7" s="20"/>
    </row>
    <row r="8" spans="1:3" x14ac:dyDescent="0.45">
      <c r="A8" s="19">
        <v>212.62000000000006</v>
      </c>
      <c r="C8" s="20">
        <f>GETPIVOTDATA("operating_income_usd_bn",$A$7)</f>
        <v>212.62000000000006</v>
      </c>
    </row>
    <row r="9" spans="1:3" x14ac:dyDescent="0.45">
      <c r="C9" s="20"/>
    </row>
    <row r="10" spans="1:3" x14ac:dyDescent="0.45">
      <c r="A10" t="s">
        <v>68</v>
      </c>
      <c r="C10" s="20"/>
    </row>
    <row r="11" spans="1:3" x14ac:dyDescent="0.45">
      <c r="A11" s="19">
        <v>5616.3000000000029</v>
      </c>
      <c r="C11" s="21">
        <f>GETPIVOTDATA("passengers_carried_m",$A$10)</f>
        <v>5616.3000000000029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8C170E-F4B7-4499-B3F4-58C4FBD1FEAA}">
  <dimension ref="A1:F32"/>
  <sheetViews>
    <sheetView workbookViewId="0">
      <selection activeCell="D15" sqref="D15"/>
    </sheetView>
  </sheetViews>
  <sheetFormatPr defaultRowHeight="14.25" x14ac:dyDescent="0.45"/>
  <cols>
    <col min="1" max="1" width="16.3984375" bestFit="1" customWidth="1"/>
    <col min="2" max="2" width="7.73046875" bestFit="1" customWidth="1"/>
    <col min="3" max="3" width="10.86328125" bestFit="1" customWidth="1"/>
    <col min="4" max="4" width="12.6640625" bestFit="1" customWidth="1"/>
    <col min="5" max="5" width="19.73046875" bestFit="1" customWidth="1"/>
    <col min="6" max="6" width="12.3984375" bestFit="1" customWidth="1"/>
    <col min="7" max="7" width="14.796875" bestFit="1" customWidth="1"/>
    <col min="8" max="8" width="11.46484375" bestFit="1" customWidth="1"/>
    <col min="9" max="9" width="4.73046875" bestFit="1" customWidth="1"/>
    <col min="10" max="10" width="12" bestFit="1" customWidth="1"/>
    <col min="11" max="11" width="11.73046875" bestFit="1" customWidth="1"/>
    <col min="12" max="12" width="13.06640625" bestFit="1" customWidth="1"/>
    <col min="13" max="13" width="12.06640625" bestFit="1" customWidth="1"/>
    <col min="14" max="14" width="6.6640625" bestFit="1" customWidth="1"/>
    <col min="15" max="15" width="7.796875" bestFit="1" customWidth="1"/>
    <col min="16" max="16" width="5.73046875" bestFit="1" customWidth="1"/>
    <col min="17" max="17" width="16.9296875" bestFit="1" customWidth="1"/>
    <col min="18" max="18" width="6" bestFit="1" customWidth="1"/>
    <col min="19" max="19" width="11.6640625" bestFit="1" customWidth="1"/>
    <col min="20" max="20" width="6.59765625" bestFit="1" customWidth="1"/>
    <col min="21" max="21" width="8.9296875" bestFit="1" customWidth="1"/>
    <col min="22" max="22" width="12.3984375" bestFit="1" customWidth="1"/>
    <col min="23" max="23" width="13.86328125" bestFit="1" customWidth="1"/>
    <col min="24" max="24" width="11.6640625" bestFit="1" customWidth="1"/>
    <col min="25" max="25" width="8.6640625" bestFit="1" customWidth="1"/>
    <col min="26" max="26" width="6.73046875" bestFit="1" customWidth="1"/>
    <col min="27" max="27" width="6.1328125" bestFit="1" customWidth="1"/>
    <col min="28" max="28" width="15.19921875" bestFit="1" customWidth="1"/>
    <col min="29" max="29" width="15.6640625" bestFit="1" customWidth="1"/>
    <col min="30" max="30" width="13" bestFit="1" customWidth="1"/>
    <col min="31" max="31" width="12.3984375" bestFit="1" customWidth="1"/>
    <col min="32" max="32" width="9.86328125" bestFit="1" customWidth="1"/>
  </cols>
  <sheetData>
    <row r="1" spans="1:6" x14ac:dyDescent="0.45">
      <c r="A1" s="10" t="s">
        <v>56</v>
      </c>
      <c r="B1" s="11" t="s">
        <v>51</v>
      </c>
      <c r="C1" s="11" t="s">
        <v>53</v>
      </c>
      <c r="D1" s="7" t="s">
        <v>50</v>
      </c>
      <c r="E1" s="7" t="s">
        <v>51</v>
      </c>
      <c r="F1" s="6" t="s">
        <v>53</v>
      </c>
    </row>
    <row r="2" spans="1:6" x14ac:dyDescent="0.45">
      <c r="A2" s="3" t="s">
        <v>8</v>
      </c>
      <c r="B2" s="17">
        <v>303.05</v>
      </c>
      <c r="C2" s="17">
        <v>21.77</v>
      </c>
      <c r="D2" s="8" t="s">
        <v>8</v>
      </c>
      <c r="E2" s="9">
        <v>303.05</v>
      </c>
      <c r="F2">
        <v>21.77</v>
      </c>
    </row>
    <row r="3" spans="1:6" x14ac:dyDescent="0.45">
      <c r="A3" s="3" t="s">
        <v>11</v>
      </c>
      <c r="B3" s="17">
        <v>277.23</v>
      </c>
      <c r="C3" s="17">
        <v>14.19</v>
      </c>
      <c r="D3" s="8" t="s">
        <v>11</v>
      </c>
      <c r="E3" s="9">
        <v>277.23</v>
      </c>
      <c r="F3">
        <v>14.19</v>
      </c>
    </row>
    <row r="4" spans="1:6" x14ac:dyDescent="0.45">
      <c r="A4" s="3" t="s">
        <v>12</v>
      </c>
      <c r="B4" s="17">
        <v>269.64999999999998</v>
      </c>
      <c r="C4" s="17">
        <v>17.8</v>
      </c>
      <c r="D4" s="8" t="s">
        <v>12</v>
      </c>
      <c r="E4" s="9">
        <v>269.64999999999998</v>
      </c>
      <c r="F4">
        <v>17.8</v>
      </c>
    </row>
    <row r="5" spans="1:6" x14ac:dyDescent="0.45">
      <c r="A5" s="3" t="s">
        <v>13</v>
      </c>
      <c r="B5" s="17">
        <v>199.69</v>
      </c>
      <c r="C5" s="17">
        <v>13.85</v>
      </c>
      <c r="D5" s="8" t="s">
        <v>13</v>
      </c>
      <c r="E5" s="9">
        <v>199.69</v>
      </c>
      <c r="F5">
        <v>13.85</v>
      </c>
    </row>
    <row r="6" spans="1:6" x14ac:dyDescent="0.45">
      <c r="A6" s="3" t="s">
        <v>15</v>
      </c>
      <c r="B6" s="17">
        <v>171.08999999999997</v>
      </c>
      <c r="C6" s="17">
        <v>10.64</v>
      </c>
      <c r="D6" s="8" t="s">
        <v>15</v>
      </c>
      <c r="E6" s="9">
        <v>171.08999999999997</v>
      </c>
      <c r="F6">
        <v>10.64</v>
      </c>
    </row>
    <row r="7" spans="1:6" x14ac:dyDescent="0.45">
      <c r="A7" s="3" t="s">
        <v>18</v>
      </c>
      <c r="B7" s="17">
        <v>166.06</v>
      </c>
      <c r="C7" s="17">
        <v>10.98</v>
      </c>
    </row>
    <row r="8" spans="1:6" x14ac:dyDescent="0.45">
      <c r="A8" s="3" t="s">
        <v>16</v>
      </c>
      <c r="B8" s="17">
        <v>158.96</v>
      </c>
      <c r="C8" s="17">
        <v>10.57</v>
      </c>
    </row>
    <row r="9" spans="1:6" x14ac:dyDescent="0.45">
      <c r="A9" s="3" t="s">
        <v>19</v>
      </c>
      <c r="B9" s="17">
        <v>139.16999999999999</v>
      </c>
      <c r="C9" s="17">
        <v>16.600000000000001</v>
      </c>
    </row>
    <row r="10" spans="1:6" x14ac:dyDescent="0.45">
      <c r="A10" s="3" t="s">
        <v>24</v>
      </c>
      <c r="B10" s="17">
        <v>114.44</v>
      </c>
      <c r="C10" s="17">
        <v>6.54</v>
      </c>
    </row>
    <row r="11" spans="1:6" x14ac:dyDescent="0.45">
      <c r="A11" s="3" t="s">
        <v>21</v>
      </c>
      <c r="B11" s="17">
        <v>112</v>
      </c>
      <c r="C11" s="17">
        <v>7.09</v>
      </c>
    </row>
    <row r="12" spans="1:6" x14ac:dyDescent="0.45">
      <c r="A12" s="3" t="s">
        <v>25</v>
      </c>
      <c r="B12" s="17">
        <v>108.88</v>
      </c>
      <c r="C12" s="17">
        <v>8.6199999999999992</v>
      </c>
    </row>
    <row r="13" spans="1:6" x14ac:dyDescent="0.45">
      <c r="A13" s="3" t="s">
        <v>23</v>
      </c>
      <c r="B13" s="17">
        <v>104.21000000000001</v>
      </c>
      <c r="C13" s="17">
        <v>9.8199999999999985</v>
      </c>
    </row>
    <row r="14" spans="1:6" x14ac:dyDescent="0.45">
      <c r="A14" s="3" t="s">
        <v>27</v>
      </c>
      <c r="B14" s="17">
        <v>88.26</v>
      </c>
      <c r="C14" s="17">
        <v>5.0599999999999996</v>
      </c>
    </row>
    <row r="15" spans="1:6" x14ac:dyDescent="0.45">
      <c r="A15" s="3" t="s">
        <v>26</v>
      </c>
      <c r="B15" s="17">
        <v>87.63</v>
      </c>
      <c r="C15" s="17">
        <v>5.86</v>
      </c>
    </row>
    <row r="16" spans="1:6" x14ac:dyDescent="0.45">
      <c r="A16" s="3" t="s">
        <v>28</v>
      </c>
      <c r="B16" s="17">
        <v>74.89</v>
      </c>
      <c r="C16" s="17">
        <v>5.08</v>
      </c>
    </row>
    <row r="17" spans="1:3" x14ac:dyDescent="0.45">
      <c r="A17" s="3" t="s">
        <v>29</v>
      </c>
      <c r="B17" s="17">
        <v>69.069999999999993</v>
      </c>
      <c r="C17" s="17">
        <v>5.5000000000000009</v>
      </c>
    </row>
    <row r="18" spans="1:3" x14ac:dyDescent="0.45">
      <c r="A18" s="3" t="s">
        <v>32</v>
      </c>
      <c r="B18" s="17">
        <v>62.739999999999995</v>
      </c>
      <c r="C18" s="17">
        <v>4.6899999999999995</v>
      </c>
    </row>
    <row r="19" spans="1:3" x14ac:dyDescent="0.45">
      <c r="A19" s="3" t="s">
        <v>31</v>
      </c>
      <c r="B19" s="17">
        <v>62.69</v>
      </c>
      <c r="C19" s="17">
        <v>4.1199999999999992</v>
      </c>
    </row>
    <row r="20" spans="1:3" x14ac:dyDescent="0.45">
      <c r="A20" s="3" t="s">
        <v>30</v>
      </c>
      <c r="B20" s="17">
        <v>62.67</v>
      </c>
      <c r="C20" s="17">
        <v>3.9</v>
      </c>
    </row>
    <row r="21" spans="1:3" x14ac:dyDescent="0.45">
      <c r="A21" s="3" t="s">
        <v>33</v>
      </c>
      <c r="B21" s="17">
        <v>60.4</v>
      </c>
      <c r="C21" s="17">
        <v>3.7199999999999998</v>
      </c>
    </row>
    <row r="22" spans="1:3" x14ac:dyDescent="0.45">
      <c r="A22" s="3" t="s">
        <v>35</v>
      </c>
      <c r="B22" s="17">
        <v>54.750000000000007</v>
      </c>
      <c r="C22" s="17">
        <v>4.3900000000000006</v>
      </c>
    </row>
    <row r="23" spans="1:3" x14ac:dyDescent="0.45">
      <c r="A23" s="3" t="s">
        <v>37</v>
      </c>
      <c r="B23" s="17">
        <v>54.54999999999999</v>
      </c>
      <c r="C23" s="17">
        <v>5.8</v>
      </c>
    </row>
    <row r="24" spans="1:3" x14ac:dyDescent="0.45">
      <c r="A24" s="3" t="s">
        <v>38</v>
      </c>
      <c r="B24" s="17">
        <v>48.03</v>
      </c>
      <c r="C24" s="17">
        <v>4.41</v>
      </c>
    </row>
    <row r="25" spans="1:3" x14ac:dyDescent="0.45">
      <c r="A25" s="3" t="s">
        <v>39</v>
      </c>
      <c r="B25" s="17">
        <v>40.28</v>
      </c>
      <c r="C25" s="17">
        <v>4.4700000000000006</v>
      </c>
    </row>
    <row r="26" spans="1:3" x14ac:dyDescent="0.45">
      <c r="A26" s="3" t="s">
        <v>40</v>
      </c>
      <c r="B26" s="17">
        <v>38.090000000000003</v>
      </c>
      <c r="C26" s="17">
        <v>0.37</v>
      </c>
    </row>
    <row r="27" spans="1:3" x14ac:dyDescent="0.45">
      <c r="A27" s="3" t="s">
        <v>41</v>
      </c>
      <c r="B27" s="17">
        <v>36.33</v>
      </c>
      <c r="C27" s="17">
        <v>2.2600000000000002</v>
      </c>
    </row>
    <row r="28" spans="1:3" x14ac:dyDescent="0.45">
      <c r="A28" s="3" t="s">
        <v>42</v>
      </c>
      <c r="B28" s="17">
        <v>26.12</v>
      </c>
      <c r="C28" s="17">
        <v>1.1800000000000002</v>
      </c>
    </row>
    <row r="29" spans="1:3" x14ac:dyDescent="0.45">
      <c r="A29" s="3" t="s">
        <v>44</v>
      </c>
      <c r="B29" s="17">
        <v>20.53</v>
      </c>
      <c r="C29" s="17">
        <v>2.2200000000000002</v>
      </c>
    </row>
    <row r="30" spans="1:3" x14ac:dyDescent="0.45">
      <c r="A30" s="3" t="s">
        <v>43</v>
      </c>
      <c r="B30" s="17">
        <v>20.050000000000004</v>
      </c>
      <c r="C30" s="17">
        <v>1.78</v>
      </c>
    </row>
    <row r="31" spans="1:3" x14ac:dyDescent="0.45">
      <c r="A31" s="3" t="s">
        <v>45</v>
      </c>
      <c r="B31" s="17">
        <v>5.129999999999999</v>
      </c>
      <c r="C31" s="17">
        <v>-0.65999999999999992</v>
      </c>
    </row>
    <row r="32" spans="1:3" x14ac:dyDescent="0.45">
      <c r="A32" s="3" t="s">
        <v>48</v>
      </c>
      <c r="B32" s="16">
        <v>3036.6400000000003</v>
      </c>
      <c r="C32" s="16">
        <v>212.62</v>
      </c>
    </row>
  </sheetData>
  <conditionalFormatting pivot="1" sqref="B2:B31">
    <cfRule type="top10" dxfId="500" priority="2" rank="5"/>
  </conditionalFormatting>
  <conditionalFormatting sqref="E2:E6">
    <cfRule type="top10" dxfId="499" priority="1" rank="5"/>
  </conditionalFormatting>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ED782E-A4A6-4A8B-A03E-813340399218}">
  <dimension ref="A1:G8"/>
  <sheetViews>
    <sheetView workbookViewId="0">
      <selection activeCell="A2" sqref="A2"/>
    </sheetView>
  </sheetViews>
  <sheetFormatPr defaultRowHeight="14.25" x14ac:dyDescent="0.45"/>
  <cols>
    <col min="1" max="1" width="11.9296875" bestFit="1" customWidth="1"/>
    <col min="2" max="2" width="9" bestFit="1" customWidth="1"/>
    <col min="3" max="3" width="7.73046875" bestFit="1" customWidth="1"/>
    <col min="4" max="4" width="11.9296875" bestFit="1" customWidth="1"/>
    <col min="6" max="6" width="10.86328125" bestFit="1" customWidth="1"/>
  </cols>
  <sheetData>
    <row r="1" spans="1:7" x14ac:dyDescent="0.45">
      <c r="E1" s="6"/>
      <c r="F1" s="6"/>
      <c r="G1" s="6"/>
    </row>
    <row r="2" spans="1:7" x14ac:dyDescent="0.45">
      <c r="A2" s="10" t="s">
        <v>52</v>
      </c>
      <c r="B2" s="11" t="s">
        <v>55</v>
      </c>
      <c r="D2" s="6" t="s">
        <v>63</v>
      </c>
      <c r="E2" s="6" t="s">
        <v>55</v>
      </c>
    </row>
    <row r="3" spans="1:7" x14ac:dyDescent="0.45">
      <c r="A3" s="3" t="s">
        <v>34</v>
      </c>
      <c r="B3" s="17">
        <v>172.8</v>
      </c>
      <c r="D3" s="3" t="s">
        <v>64</v>
      </c>
      <c r="E3">
        <v>172.8</v>
      </c>
    </row>
    <row r="4" spans="1:7" x14ac:dyDescent="0.45">
      <c r="A4" s="3" t="s">
        <v>17</v>
      </c>
      <c r="B4" s="17">
        <v>521</v>
      </c>
      <c r="D4" s="3" t="s">
        <v>9</v>
      </c>
      <c r="E4">
        <v>2188</v>
      </c>
    </row>
    <row r="5" spans="1:7" x14ac:dyDescent="0.45">
      <c r="A5" s="3" t="s">
        <v>22</v>
      </c>
      <c r="B5" s="17">
        <v>1223.9999999999998</v>
      </c>
      <c r="D5" s="3" t="s">
        <v>14</v>
      </c>
      <c r="E5">
        <v>1510.4999999999998</v>
      </c>
    </row>
    <row r="6" spans="1:7" x14ac:dyDescent="0.45">
      <c r="A6" s="3" t="s">
        <v>14</v>
      </c>
      <c r="B6" s="17">
        <v>1510.4999999999998</v>
      </c>
      <c r="D6" s="3" t="s">
        <v>22</v>
      </c>
      <c r="E6">
        <v>1223.9999999999998</v>
      </c>
    </row>
    <row r="7" spans="1:7" x14ac:dyDescent="0.45">
      <c r="A7" s="3" t="s">
        <v>9</v>
      </c>
      <c r="B7" s="17">
        <v>2188</v>
      </c>
      <c r="D7" s="3" t="s">
        <v>65</v>
      </c>
      <c r="E7">
        <v>521</v>
      </c>
    </row>
    <row r="8" spans="1:7" x14ac:dyDescent="0.45">
      <c r="A8" s="3" t="s">
        <v>48</v>
      </c>
      <c r="B8" s="16">
        <v>5616.2999999999993</v>
      </c>
    </row>
  </sheetData>
  <sortState xmlns:xlrd2="http://schemas.microsoft.com/office/spreadsheetml/2017/richdata2" ref="D3:E7">
    <sortCondition descending="1" ref="D3:D7"/>
  </sortState>
  <conditionalFormatting sqref="F2:F6">
    <cfRule type="top10" dxfId="494" priority="1" rank="5"/>
  </conditionalFormatting>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9D446E-FAA5-4C02-B2BB-56D4CABAABA7}">
  <dimension ref="A1:B5"/>
  <sheetViews>
    <sheetView workbookViewId="0">
      <selection activeCell="L14" sqref="L14"/>
    </sheetView>
  </sheetViews>
  <sheetFormatPr defaultRowHeight="14.25" x14ac:dyDescent="0.45"/>
  <cols>
    <col min="1" max="1" width="9.86328125" bestFit="1" customWidth="1"/>
    <col min="2" max="2" width="9" bestFit="1" customWidth="1"/>
    <col min="3" max="3" width="7.796875" bestFit="1" customWidth="1"/>
    <col min="4" max="4" width="7.19921875" bestFit="1" customWidth="1"/>
    <col min="5" max="5" width="9.86328125" bestFit="1" customWidth="1"/>
  </cols>
  <sheetData>
    <row r="1" spans="1:2" x14ac:dyDescent="0.45">
      <c r="A1" s="2" t="s">
        <v>54</v>
      </c>
      <c r="B1" t="s">
        <v>55</v>
      </c>
    </row>
    <row r="2" spans="1:2" x14ac:dyDescent="0.45">
      <c r="A2" s="3" t="s">
        <v>10</v>
      </c>
      <c r="B2" s="5">
        <v>3885.1000000000008</v>
      </c>
    </row>
    <row r="3" spans="1:2" x14ac:dyDescent="0.45">
      <c r="A3" s="3" t="s">
        <v>20</v>
      </c>
      <c r="B3" s="5">
        <v>1566.8999999999992</v>
      </c>
    </row>
    <row r="4" spans="1:2" x14ac:dyDescent="0.45">
      <c r="A4" s="3" t="s">
        <v>36</v>
      </c>
      <c r="B4" s="5">
        <v>164.29999999999998</v>
      </c>
    </row>
    <row r="5" spans="1:2" x14ac:dyDescent="0.45">
      <c r="A5" s="3" t="s">
        <v>48</v>
      </c>
      <c r="B5" s="17">
        <v>5616.3</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DBB26C-8F8C-44E2-A50B-93679912163A}">
  <dimension ref="A3:AA35"/>
  <sheetViews>
    <sheetView workbookViewId="0">
      <selection activeCell="H2" sqref="H2"/>
    </sheetView>
  </sheetViews>
  <sheetFormatPr defaultRowHeight="14.25" x14ac:dyDescent="0.45"/>
  <cols>
    <col min="1" max="1" width="16.3984375" bestFit="1" customWidth="1"/>
    <col min="2" max="2" width="14.73046875" bestFit="1" customWidth="1"/>
    <col min="3" max="6" width="6.73046875" bestFit="1" customWidth="1"/>
    <col min="7" max="7" width="7.73046875" bestFit="1" customWidth="1"/>
    <col min="8" max="8" width="9" bestFit="1" customWidth="1"/>
    <col min="9" max="9" width="7.73046875" bestFit="1" customWidth="1"/>
    <col min="10" max="10" width="9" bestFit="1" customWidth="1"/>
    <col min="11" max="11" width="7.06640625" customWidth="1"/>
    <col min="12" max="12" width="10.6640625" customWidth="1"/>
    <col min="13" max="13" width="8.9296875" customWidth="1"/>
    <col min="14" max="112" width="14.73046875" bestFit="1" customWidth="1"/>
    <col min="113" max="113" width="9.86328125" bestFit="1" customWidth="1"/>
  </cols>
  <sheetData>
    <row r="3" spans="1:27" x14ac:dyDescent="0.45">
      <c r="A3" s="2" t="s">
        <v>51</v>
      </c>
      <c r="B3" s="2" t="s">
        <v>49</v>
      </c>
      <c r="I3" s="4" t="s">
        <v>51</v>
      </c>
      <c r="J3" s="4" t="s">
        <v>49</v>
      </c>
      <c r="K3" s="4"/>
      <c r="L3" s="4"/>
      <c r="M3" s="4"/>
      <c r="N3" s="4"/>
      <c r="O3" s="4"/>
      <c r="P3" s="4"/>
      <c r="Q3" s="4"/>
      <c r="R3" s="4"/>
      <c r="S3" s="4"/>
      <c r="T3" s="4"/>
      <c r="U3" s="4"/>
      <c r="V3" s="4"/>
      <c r="W3" s="4"/>
      <c r="X3" s="4"/>
      <c r="Y3" s="4"/>
      <c r="Z3" s="4"/>
      <c r="AA3" s="4"/>
    </row>
    <row r="4" spans="1:27" ht="28.5" x14ac:dyDescent="0.45">
      <c r="A4" s="2" t="s">
        <v>52</v>
      </c>
      <c r="B4">
        <v>2022</v>
      </c>
      <c r="C4">
        <v>2023</v>
      </c>
      <c r="D4">
        <v>2024</v>
      </c>
      <c r="E4">
        <v>2025</v>
      </c>
      <c r="F4">
        <v>2026</v>
      </c>
      <c r="G4" s="12" t="s">
        <v>48</v>
      </c>
      <c r="I4" s="1" t="s">
        <v>52</v>
      </c>
      <c r="J4" s="1" t="s">
        <v>57</v>
      </c>
      <c r="K4" s="1" t="s">
        <v>58</v>
      </c>
      <c r="L4" s="1" t="s">
        <v>59</v>
      </c>
      <c r="M4" s="1" t="s">
        <v>60</v>
      </c>
      <c r="N4" s="1" t="s">
        <v>61</v>
      </c>
      <c r="O4" s="14"/>
      <c r="P4" s="4"/>
      <c r="Q4" s="4"/>
      <c r="R4" s="4"/>
      <c r="S4" s="4"/>
      <c r="T4" s="4"/>
      <c r="U4" s="4"/>
      <c r="V4" s="4"/>
      <c r="W4" s="4"/>
      <c r="X4" s="4"/>
      <c r="Y4" s="4"/>
      <c r="Z4" s="13"/>
      <c r="AA4" s="13"/>
    </row>
    <row r="5" spans="1:27" x14ac:dyDescent="0.45">
      <c r="A5" s="3" t="s">
        <v>8</v>
      </c>
      <c r="B5" s="17">
        <v>50.43</v>
      </c>
      <c r="C5" s="17">
        <v>59.14</v>
      </c>
      <c r="D5" s="17">
        <v>60.38</v>
      </c>
      <c r="E5" s="17">
        <v>64.72</v>
      </c>
      <c r="F5" s="17">
        <v>68.38</v>
      </c>
      <c r="G5" s="17">
        <v>303.04999999999995</v>
      </c>
      <c r="I5" s="3" t="s">
        <v>8</v>
      </c>
      <c r="J5">
        <v>50.43</v>
      </c>
      <c r="K5">
        <v>59.14</v>
      </c>
      <c r="L5">
        <v>60.38</v>
      </c>
      <c r="M5">
        <v>64.72</v>
      </c>
      <c r="N5">
        <v>68.38</v>
      </c>
      <c r="O5">
        <v>303.04999999999995</v>
      </c>
      <c r="P5" s="1"/>
      <c r="Q5" s="1"/>
      <c r="R5" s="1"/>
      <c r="S5" s="1"/>
      <c r="T5" s="1"/>
      <c r="U5" s="1"/>
      <c r="V5" s="1"/>
      <c r="W5" s="1"/>
      <c r="X5" s="1"/>
      <c r="Y5" s="1"/>
      <c r="Z5" s="1"/>
      <c r="AA5" s="1"/>
    </row>
    <row r="6" spans="1:27" x14ac:dyDescent="0.45">
      <c r="A6" s="3" t="s">
        <v>11</v>
      </c>
      <c r="B6" s="17">
        <v>45.02</v>
      </c>
      <c r="C6" s="17">
        <v>54.78</v>
      </c>
      <c r="D6" s="17">
        <v>56.96</v>
      </c>
      <c r="E6" s="17">
        <v>58.19</v>
      </c>
      <c r="F6" s="17">
        <v>62.28</v>
      </c>
      <c r="G6" s="17">
        <v>277.23</v>
      </c>
      <c r="I6" s="3" t="s">
        <v>11</v>
      </c>
      <c r="J6">
        <v>45.02</v>
      </c>
      <c r="K6">
        <v>54.78</v>
      </c>
      <c r="L6">
        <v>56.96</v>
      </c>
      <c r="M6">
        <v>58.19</v>
      </c>
      <c r="N6">
        <v>62.28</v>
      </c>
      <c r="O6">
        <v>277.23</v>
      </c>
    </row>
    <row r="7" spans="1:27" x14ac:dyDescent="0.45">
      <c r="A7" s="3" t="s">
        <v>12</v>
      </c>
      <c r="B7" s="17">
        <v>51.92</v>
      </c>
      <c r="C7" s="17">
        <v>51.26</v>
      </c>
      <c r="D7" s="17">
        <v>52.89</v>
      </c>
      <c r="E7" s="17">
        <v>55.86</v>
      </c>
      <c r="F7" s="17">
        <v>57.72</v>
      </c>
      <c r="G7" s="17">
        <v>269.64999999999998</v>
      </c>
      <c r="I7" s="3" t="s">
        <v>12</v>
      </c>
      <c r="J7">
        <v>51.92</v>
      </c>
      <c r="K7">
        <v>51.26</v>
      </c>
      <c r="L7">
        <v>52.89</v>
      </c>
      <c r="M7">
        <v>55.86</v>
      </c>
      <c r="N7">
        <v>57.72</v>
      </c>
      <c r="O7">
        <v>269.64999999999998</v>
      </c>
    </row>
    <row r="8" spans="1:27" x14ac:dyDescent="0.45">
      <c r="A8" s="3" t="s">
        <v>13</v>
      </c>
      <c r="B8" s="17">
        <v>35.08</v>
      </c>
      <c r="C8" s="17">
        <v>37.22</v>
      </c>
      <c r="D8" s="17">
        <v>38.619999999999997</v>
      </c>
      <c r="E8" s="17">
        <v>43.34</v>
      </c>
      <c r="F8" s="17">
        <v>45.43</v>
      </c>
      <c r="G8" s="17">
        <v>199.69</v>
      </c>
      <c r="I8" s="3" t="s">
        <v>13</v>
      </c>
      <c r="J8">
        <v>35.08</v>
      </c>
      <c r="K8">
        <v>37.22</v>
      </c>
      <c r="L8">
        <v>38.619999999999997</v>
      </c>
      <c r="M8">
        <v>43.34</v>
      </c>
      <c r="N8">
        <v>45.43</v>
      </c>
      <c r="O8">
        <v>199.69</v>
      </c>
    </row>
    <row r="9" spans="1:27" x14ac:dyDescent="0.45">
      <c r="A9" s="3" t="s">
        <v>15</v>
      </c>
      <c r="B9" s="17">
        <v>28.11</v>
      </c>
      <c r="C9" s="17">
        <v>32.479999999999997</v>
      </c>
      <c r="D9" s="17">
        <v>33.770000000000003</v>
      </c>
      <c r="E9" s="17">
        <v>38</v>
      </c>
      <c r="F9" s="17">
        <v>38.729999999999997</v>
      </c>
      <c r="G9" s="17">
        <v>171.09</v>
      </c>
      <c r="I9" s="3" t="s">
        <v>15</v>
      </c>
      <c r="J9">
        <v>28.11</v>
      </c>
      <c r="K9">
        <v>32.479999999999997</v>
      </c>
      <c r="L9">
        <v>33.770000000000003</v>
      </c>
      <c r="M9">
        <v>38</v>
      </c>
      <c r="N9">
        <v>38.729999999999997</v>
      </c>
      <c r="O9">
        <v>171.09</v>
      </c>
    </row>
    <row r="10" spans="1:27" x14ac:dyDescent="0.45">
      <c r="A10" s="3" t="s">
        <v>18</v>
      </c>
      <c r="B10" s="17">
        <v>26.87</v>
      </c>
      <c r="C10" s="17">
        <v>33.25</v>
      </c>
      <c r="D10" s="17">
        <v>33</v>
      </c>
      <c r="E10" s="17">
        <v>36.229999999999997</v>
      </c>
      <c r="F10" s="17">
        <v>36.71</v>
      </c>
      <c r="G10" s="17">
        <v>166.06</v>
      </c>
      <c r="O10" s="3"/>
    </row>
    <row r="11" spans="1:27" x14ac:dyDescent="0.45">
      <c r="A11" s="3" t="s">
        <v>16</v>
      </c>
      <c r="B11" s="17">
        <v>23.21</v>
      </c>
      <c r="C11" s="17">
        <v>32.619999999999997</v>
      </c>
      <c r="D11" s="17">
        <v>31.66</v>
      </c>
      <c r="E11" s="17">
        <v>33.53</v>
      </c>
      <c r="F11" s="17">
        <v>37.94</v>
      </c>
      <c r="G11" s="17">
        <v>158.95999999999998</v>
      </c>
    </row>
    <row r="12" spans="1:27" x14ac:dyDescent="0.45">
      <c r="A12" s="3" t="s">
        <v>19</v>
      </c>
      <c r="B12" s="17">
        <v>25.01</v>
      </c>
      <c r="C12" s="17">
        <v>25.8</v>
      </c>
      <c r="D12" s="17">
        <v>26.77</v>
      </c>
      <c r="E12" s="17">
        <v>29.25</v>
      </c>
      <c r="F12" s="17">
        <v>32.340000000000003</v>
      </c>
      <c r="G12" s="17">
        <v>139.17000000000002</v>
      </c>
    </row>
    <row r="13" spans="1:27" x14ac:dyDescent="0.45">
      <c r="A13" s="3" t="s">
        <v>24</v>
      </c>
      <c r="B13" s="17">
        <v>18.850000000000001</v>
      </c>
      <c r="C13" s="17">
        <v>21.23</v>
      </c>
      <c r="D13" s="17">
        <v>22.77</v>
      </c>
      <c r="E13" s="17">
        <v>25.17</v>
      </c>
      <c r="F13" s="17">
        <v>26.42</v>
      </c>
      <c r="G13" s="17">
        <v>114.44</v>
      </c>
    </row>
    <row r="14" spans="1:27" x14ac:dyDescent="0.45">
      <c r="A14" s="3" t="s">
        <v>21</v>
      </c>
      <c r="B14" s="17">
        <v>11.93</v>
      </c>
      <c r="C14" s="17">
        <v>20.85</v>
      </c>
      <c r="D14" s="17">
        <v>23.79</v>
      </c>
      <c r="E14" s="17">
        <v>26.32</v>
      </c>
      <c r="F14" s="17">
        <v>29.11</v>
      </c>
      <c r="G14" s="17">
        <v>112</v>
      </c>
    </row>
    <row r="15" spans="1:27" x14ac:dyDescent="0.45">
      <c r="A15" s="3" t="s">
        <v>25</v>
      </c>
      <c r="B15" s="17">
        <v>18.55</v>
      </c>
      <c r="C15" s="17">
        <v>20.23</v>
      </c>
      <c r="D15" s="17">
        <v>21.46</v>
      </c>
      <c r="E15" s="17">
        <v>23.92</v>
      </c>
      <c r="F15" s="17">
        <v>24.72</v>
      </c>
      <c r="G15" s="17">
        <v>108.88</v>
      </c>
    </row>
    <row r="16" spans="1:27" x14ac:dyDescent="0.45">
      <c r="A16" s="3" t="s">
        <v>23</v>
      </c>
      <c r="B16" s="17">
        <v>8.6999999999999993</v>
      </c>
      <c r="C16" s="17">
        <v>20.2</v>
      </c>
      <c r="D16" s="17">
        <v>22.37</v>
      </c>
      <c r="E16" s="17">
        <v>25.33</v>
      </c>
      <c r="F16" s="17">
        <v>27.61</v>
      </c>
      <c r="G16" s="17">
        <v>104.21</v>
      </c>
    </row>
    <row r="17" spans="1:7" x14ac:dyDescent="0.45">
      <c r="A17" s="3" t="s">
        <v>27</v>
      </c>
      <c r="B17" s="17">
        <v>15.73</v>
      </c>
      <c r="C17" s="17">
        <v>16.59</v>
      </c>
      <c r="D17" s="17">
        <v>16.940000000000001</v>
      </c>
      <c r="E17" s="17">
        <v>18.809999999999999</v>
      </c>
      <c r="F17" s="17">
        <v>20.190000000000001</v>
      </c>
      <c r="G17" s="17">
        <v>88.26</v>
      </c>
    </row>
    <row r="18" spans="1:7" x14ac:dyDescent="0.45">
      <c r="A18" s="3" t="s">
        <v>26</v>
      </c>
      <c r="B18" s="17">
        <v>7.16</v>
      </c>
      <c r="C18" s="17">
        <v>17.77</v>
      </c>
      <c r="D18" s="17">
        <v>18.88</v>
      </c>
      <c r="E18" s="17">
        <v>21.17</v>
      </c>
      <c r="F18" s="17">
        <v>22.65</v>
      </c>
      <c r="G18" s="17">
        <v>87.63</v>
      </c>
    </row>
    <row r="19" spans="1:7" x14ac:dyDescent="0.45">
      <c r="A19" s="3" t="s">
        <v>28</v>
      </c>
      <c r="B19" s="17">
        <v>10.38</v>
      </c>
      <c r="C19" s="17">
        <v>15.19</v>
      </c>
      <c r="D19" s="17">
        <v>15.75</v>
      </c>
      <c r="E19" s="17">
        <v>16.2</v>
      </c>
      <c r="F19" s="17">
        <v>17.37</v>
      </c>
      <c r="G19" s="17">
        <v>74.89</v>
      </c>
    </row>
    <row r="20" spans="1:7" x14ac:dyDescent="0.45">
      <c r="A20" s="3" t="s">
        <v>29</v>
      </c>
      <c r="B20" s="17">
        <v>11.11</v>
      </c>
      <c r="C20" s="17">
        <v>12.91</v>
      </c>
      <c r="D20" s="17">
        <v>14.89</v>
      </c>
      <c r="E20" s="17">
        <v>13.95</v>
      </c>
      <c r="F20" s="17">
        <v>16.21</v>
      </c>
      <c r="G20" s="17">
        <v>69.069999999999993</v>
      </c>
    </row>
    <row r="21" spans="1:7" x14ac:dyDescent="0.45">
      <c r="A21" s="3" t="s">
        <v>32</v>
      </c>
      <c r="B21" s="17">
        <v>10.69</v>
      </c>
      <c r="C21" s="17">
        <v>12.41</v>
      </c>
      <c r="D21" s="17">
        <v>12.27</v>
      </c>
      <c r="E21" s="17">
        <v>13.17</v>
      </c>
      <c r="F21" s="17">
        <v>14.2</v>
      </c>
      <c r="G21" s="17">
        <v>62.740000000000009</v>
      </c>
    </row>
    <row r="22" spans="1:7" x14ac:dyDescent="0.45">
      <c r="A22" s="3" t="s">
        <v>31</v>
      </c>
      <c r="B22" s="17">
        <v>10.75</v>
      </c>
      <c r="C22" s="17">
        <v>11.76</v>
      </c>
      <c r="D22" s="17">
        <v>12.33</v>
      </c>
      <c r="E22" s="17">
        <v>13.23</v>
      </c>
      <c r="F22" s="17">
        <v>14.62</v>
      </c>
      <c r="G22" s="17">
        <v>62.689999999999991</v>
      </c>
    </row>
    <row r="23" spans="1:7" x14ac:dyDescent="0.45">
      <c r="A23" s="3" t="s">
        <v>30</v>
      </c>
      <c r="B23" s="17">
        <v>6.16</v>
      </c>
      <c r="C23" s="17">
        <v>12.99</v>
      </c>
      <c r="D23" s="17">
        <v>14.1</v>
      </c>
      <c r="E23" s="17">
        <v>14.05</v>
      </c>
      <c r="F23" s="17">
        <v>15.37</v>
      </c>
      <c r="G23" s="17">
        <v>62.669999999999995</v>
      </c>
    </row>
    <row r="24" spans="1:7" x14ac:dyDescent="0.45">
      <c r="A24" s="3" t="s">
        <v>33</v>
      </c>
      <c r="B24" s="17">
        <v>9.15</v>
      </c>
      <c r="C24" s="17">
        <v>11.93</v>
      </c>
      <c r="D24" s="17">
        <v>12.35</v>
      </c>
      <c r="E24" s="17">
        <v>13.7</v>
      </c>
      <c r="F24" s="17">
        <v>13.27</v>
      </c>
      <c r="G24" s="17">
        <v>60.399999999999991</v>
      </c>
    </row>
    <row r="25" spans="1:7" x14ac:dyDescent="0.45">
      <c r="A25" s="3" t="s">
        <v>35</v>
      </c>
      <c r="B25" s="17">
        <v>9.35</v>
      </c>
      <c r="C25" s="17">
        <v>9.9499999999999993</v>
      </c>
      <c r="D25" s="17">
        <v>10.84</v>
      </c>
      <c r="E25" s="17">
        <v>11.44</v>
      </c>
      <c r="F25" s="17">
        <v>13.17</v>
      </c>
      <c r="G25" s="17">
        <v>54.75</v>
      </c>
    </row>
    <row r="26" spans="1:7" x14ac:dyDescent="0.45">
      <c r="A26" s="3" t="s">
        <v>37</v>
      </c>
      <c r="B26" s="17">
        <v>7.65</v>
      </c>
      <c r="C26" s="17">
        <v>11.22</v>
      </c>
      <c r="D26" s="17">
        <v>11.7</v>
      </c>
      <c r="E26" s="17">
        <v>11.94</v>
      </c>
      <c r="F26" s="17">
        <v>12.04</v>
      </c>
      <c r="G26" s="17">
        <v>54.55</v>
      </c>
    </row>
    <row r="27" spans="1:7" x14ac:dyDescent="0.45">
      <c r="A27" s="3" t="s">
        <v>38</v>
      </c>
      <c r="B27" s="17">
        <v>9.24</v>
      </c>
      <c r="C27" s="17">
        <v>9.5299999999999994</v>
      </c>
      <c r="D27" s="17">
        <v>9.1999999999999993</v>
      </c>
      <c r="E27" s="17">
        <v>10.16</v>
      </c>
      <c r="F27" s="17">
        <v>9.9</v>
      </c>
      <c r="G27" s="17">
        <v>48.029999999999994</v>
      </c>
    </row>
    <row r="28" spans="1:7" x14ac:dyDescent="0.45">
      <c r="A28" s="3" t="s">
        <v>39</v>
      </c>
      <c r="B28" s="17">
        <v>5.18</v>
      </c>
      <c r="C28" s="17">
        <v>7.53</v>
      </c>
      <c r="D28" s="17">
        <v>8.34</v>
      </c>
      <c r="E28" s="17">
        <v>9.52</v>
      </c>
      <c r="F28" s="17">
        <v>9.7100000000000009</v>
      </c>
      <c r="G28" s="17">
        <v>40.28</v>
      </c>
    </row>
    <row r="29" spans="1:7" x14ac:dyDescent="0.45">
      <c r="A29" s="3" t="s">
        <v>40</v>
      </c>
      <c r="B29" s="17">
        <v>5.22</v>
      </c>
      <c r="C29" s="17">
        <v>6.88</v>
      </c>
      <c r="D29" s="17">
        <v>7.79</v>
      </c>
      <c r="E29" s="17">
        <v>8.7100000000000009</v>
      </c>
      <c r="F29" s="17">
        <v>9.49</v>
      </c>
      <c r="G29" s="17">
        <v>38.090000000000003</v>
      </c>
    </row>
    <row r="30" spans="1:7" x14ac:dyDescent="0.45">
      <c r="A30" s="3" t="s">
        <v>41</v>
      </c>
      <c r="B30" s="17">
        <v>5.63</v>
      </c>
      <c r="C30" s="17">
        <v>6.61</v>
      </c>
      <c r="D30" s="17">
        <v>7.48</v>
      </c>
      <c r="E30" s="17">
        <v>8.02</v>
      </c>
      <c r="F30" s="17">
        <v>8.59</v>
      </c>
      <c r="G30" s="17">
        <v>36.33</v>
      </c>
    </row>
    <row r="31" spans="1:7" x14ac:dyDescent="0.45">
      <c r="A31" s="3" t="s">
        <v>42</v>
      </c>
      <c r="B31" s="17">
        <v>4.22</v>
      </c>
      <c r="C31" s="17">
        <v>4.9400000000000004</v>
      </c>
      <c r="D31" s="17">
        <v>5.56</v>
      </c>
      <c r="E31" s="17">
        <v>5.74</v>
      </c>
      <c r="F31" s="17">
        <v>5.66</v>
      </c>
      <c r="G31" s="17">
        <v>26.12</v>
      </c>
    </row>
    <row r="32" spans="1:7" x14ac:dyDescent="0.45">
      <c r="A32" s="3" t="s">
        <v>44</v>
      </c>
      <c r="B32" s="17">
        <v>3.19</v>
      </c>
      <c r="C32" s="17">
        <v>3.89</v>
      </c>
      <c r="D32" s="17">
        <v>4.21</v>
      </c>
      <c r="E32" s="17">
        <v>4.3899999999999997</v>
      </c>
      <c r="F32" s="17">
        <v>4.8499999999999996</v>
      </c>
      <c r="G32" s="17">
        <v>20.53</v>
      </c>
    </row>
    <row r="33" spans="1:7" x14ac:dyDescent="0.45">
      <c r="A33" s="3" t="s">
        <v>43</v>
      </c>
      <c r="B33" s="17">
        <v>1.58</v>
      </c>
      <c r="C33" s="17">
        <v>3.96</v>
      </c>
      <c r="D33" s="17">
        <v>4.37</v>
      </c>
      <c r="E33" s="17">
        <v>5.12</v>
      </c>
      <c r="F33" s="17">
        <v>5.0199999999999996</v>
      </c>
      <c r="G33" s="17">
        <v>20.05</v>
      </c>
    </row>
    <row r="34" spans="1:7" x14ac:dyDescent="0.45">
      <c r="A34" s="3" t="s">
        <v>45</v>
      </c>
      <c r="B34" s="17"/>
      <c r="C34" s="17">
        <v>0.01</v>
      </c>
      <c r="D34" s="17">
        <v>0.52</v>
      </c>
      <c r="E34" s="17">
        <v>1.49</v>
      </c>
      <c r="F34" s="17">
        <v>3.11</v>
      </c>
      <c r="G34" s="17">
        <v>5.13</v>
      </c>
    </row>
    <row r="35" spans="1:7" x14ac:dyDescent="0.45">
      <c r="A35" s="3" t="s">
        <v>48</v>
      </c>
      <c r="B35" s="17">
        <v>476.07000000000005</v>
      </c>
      <c r="C35" s="17">
        <v>585.13</v>
      </c>
      <c r="D35" s="17">
        <v>611.96</v>
      </c>
      <c r="E35" s="17">
        <v>660.67000000000007</v>
      </c>
      <c r="F35" s="17">
        <v>702.81</v>
      </c>
      <c r="G35" s="17">
        <v>3036.6400000000003</v>
      </c>
    </row>
  </sheetData>
  <conditionalFormatting pivot="1" sqref="G5:G34">
    <cfRule type="top10" dxfId="498" priority="3" rank="5"/>
  </conditionalFormatting>
  <conditionalFormatting sqref="AA6:AA10">
    <cfRule type="top10" dxfId="497" priority="2" rank="5"/>
  </conditionalFormatting>
  <conditionalFormatting sqref="O5:O9">
    <cfRule type="top10" dxfId="496" priority="1" rank="5"/>
  </conditionalFormatting>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5E49BA-532B-4AF6-BE4C-3959B6492AF6}">
  <dimension ref="F3:Q11"/>
  <sheetViews>
    <sheetView showGridLines="0" showRowColHeaders="0" tabSelected="1" zoomScale="82" zoomScaleNormal="82" workbookViewId="0">
      <selection activeCell="N31" sqref="N31"/>
    </sheetView>
  </sheetViews>
  <sheetFormatPr defaultRowHeight="14.25" x14ac:dyDescent="0.45"/>
  <cols>
    <col min="1" max="1" width="3.53125" style="15" customWidth="1"/>
    <col min="2" max="13" width="9.06640625" style="15"/>
    <col min="14" max="14" width="7.796875" style="15" customWidth="1"/>
    <col min="15" max="16384" width="9.06640625" style="15"/>
  </cols>
  <sheetData>
    <row r="3" spans="6:17" x14ac:dyDescent="0.45">
      <c r="P3" s="18"/>
      <c r="Q3" s="18"/>
    </row>
    <row r="4" spans="6:17" x14ac:dyDescent="0.45">
      <c r="P4" s="18"/>
      <c r="Q4" s="18"/>
    </row>
    <row r="5" spans="6:17" x14ac:dyDescent="0.45">
      <c r="L5" s="15" t="s">
        <v>66</v>
      </c>
    </row>
    <row r="11" spans="6:17" x14ac:dyDescent="0.45">
      <c r="F11" s="15" t="s">
        <v>62</v>
      </c>
    </row>
  </sheetData>
  <pageMargins left="0.7" right="0.7" top="0.75" bottom="0.75" header="0.3" footer="0.3"/>
  <pageSetup orientation="landscape" r:id="rId1"/>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790499-F24A-4796-8BAB-E44C18335706}">
  <dimension ref="A1:H151"/>
  <sheetViews>
    <sheetView workbookViewId="0">
      <selection activeCell="E12" sqref="E12"/>
    </sheetView>
  </sheetViews>
  <sheetFormatPr defaultRowHeight="14.25" x14ac:dyDescent="0.45"/>
  <cols>
    <col min="2" max="2" width="12.9296875" customWidth="1"/>
    <col min="4" max="4" width="15.53125" customWidth="1"/>
    <col min="5" max="5" width="15.59765625" customWidth="1"/>
    <col min="6" max="6" width="23.33203125" customWidth="1"/>
    <col min="7" max="7" width="20.9296875" bestFit="1" customWidth="1"/>
    <col min="8" max="8" width="13.53125" customWidth="1"/>
  </cols>
  <sheetData>
    <row r="1" spans="1:8" x14ac:dyDescent="0.45">
      <c r="A1" t="s">
        <v>0</v>
      </c>
      <c r="B1" t="s">
        <v>1</v>
      </c>
      <c r="C1" t="s">
        <v>2</v>
      </c>
      <c r="D1" t="s">
        <v>3</v>
      </c>
      <c r="E1" t="s">
        <v>4</v>
      </c>
      <c r="F1" t="s">
        <v>5</v>
      </c>
      <c r="G1" t="s">
        <v>6</v>
      </c>
      <c r="H1" t="s">
        <v>7</v>
      </c>
    </row>
    <row r="2" spans="1:8" x14ac:dyDescent="0.45">
      <c r="A2">
        <v>2026</v>
      </c>
      <c r="B2" t="s">
        <v>8</v>
      </c>
      <c r="C2" t="s">
        <v>9</v>
      </c>
      <c r="D2" t="s">
        <v>10</v>
      </c>
      <c r="E2">
        <v>68.38</v>
      </c>
      <c r="F2">
        <v>4.22</v>
      </c>
      <c r="G2">
        <v>102.6</v>
      </c>
      <c r="H2">
        <v>341</v>
      </c>
    </row>
    <row r="3" spans="1:8" x14ac:dyDescent="0.45">
      <c r="A3">
        <v>2025</v>
      </c>
      <c r="B3" t="s">
        <v>8</v>
      </c>
      <c r="C3" t="s">
        <v>9</v>
      </c>
      <c r="D3" t="s">
        <v>10</v>
      </c>
      <c r="E3">
        <v>64.72</v>
      </c>
      <c r="F3">
        <v>6.59</v>
      </c>
      <c r="G3">
        <v>97.1</v>
      </c>
      <c r="H3">
        <v>323</v>
      </c>
    </row>
    <row r="4" spans="1:8" x14ac:dyDescent="0.45">
      <c r="A4">
        <v>2026</v>
      </c>
      <c r="B4" t="s">
        <v>11</v>
      </c>
      <c r="C4" t="s">
        <v>9</v>
      </c>
      <c r="D4" t="s">
        <v>10</v>
      </c>
      <c r="E4">
        <v>62.28</v>
      </c>
      <c r="F4">
        <v>3.15</v>
      </c>
      <c r="G4">
        <v>93.4</v>
      </c>
      <c r="H4">
        <v>311</v>
      </c>
    </row>
    <row r="5" spans="1:8" x14ac:dyDescent="0.45">
      <c r="A5">
        <v>2024</v>
      </c>
      <c r="B5" t="s">
        <v>8</v>
      </c>
      <c r="C5" t="s">
        <v>9</v>
      </c>
      <c r="D5" t="s">
        <v>10</v>
      </c>
      <c r="E5">
        <v>60.38</v>
      </c>
      <c r="F5">
        <v>5.18</v>
      </c>
      <c r="G5">
        <v>90.6</v>
      </c>
      <c r="H5">
        <v>301</v>
      </c>
    </row>
    <row r="6" spans="1:8" x14ac:dyDescent="0.45">
      <c r="A6">
        <v>2023</v>
      </c>
      <c r="B6" t="s">
        <v>8</v>
      </c>
      <c r="C6" t="s">
        <v>9</v>
      </c>
      <c r="D6" t="s">
        <v>10</v>
      </c>
      <c r="E6">
        <v>59.14</v>
      </c>
      <c r="F6">
        <v>5.83</v>
      </c>
      <c r="G6">
        <v>88.7</v>
      </c>
      <c r="H6">
        <v>295</v>
      </c>
    </row>
    <row r="7" spans="1:8" x14ac:dyDescent="0.45">
      <c r="A7">
        <v>2025</v>
      </c>
      <c r="B7" t="s">
        <v>11</v>
      </c>
      <c r="C7" t="s">
        <v>9</v>
      </c>
      <c r="D7" t="s">
        <v>10</v>
      </c>
      <c r="E7">
        <v>58.19</v>
      </c>
      <c r="F7">
        <v>3.2</v>
      </c>
      <c r="G7">
        <v>87.3</v>
      </c>
      <c r="H7">
        <v>290</v>
      </c>
    </row>
    <row r="8" spans="1:8" x14ac:dyDescent="0.45">
      <c r="A8">
        <v>2026</v>
      </c>
      <c r="B8" t="s">
        <v>12</v>
      </c>
      <c r="C8" t="s">
        <v>9</v>
      </c>
      <c r="D8" t="s">
        <v>10</v>
      </c>
      <c r="E8">
        <v>57.72</v>
      </c>
      <c r="F8">
        <v>1.97</v>
      </c>
      <c r="G8">
        <v>86.6</v>
      </c>
      <c r="H8">
        <v>288</v>
      </c>
    </row>
    <row r="9" spans="1:8" x14ac:dyDescent="0.45">
      <c r="A9">
        <v>2024</v>
      </c>
      <c r="B9" t="s">
        <v>11</v>
      </c>
      <c r="C9" t="s">
        <v>9</v>
      </c>
      <c r="D9" t="s">
        <v>10</v>
      </c>
      <c r="E9">
        <v>56.96</v>
      </c>
      <c r="F9">
        <v>2.15</v>
      </c>
      <c r="G9">
        <v>85.4</v>
      </c>
      <c r="H9">
        <v>284</v>
      </c>
    </row>
    <row r="10" spans="1:8" x14ac:dyDescent="0.45">
      <c r="A10">
        <v>2025</v>
      </c>
      <c r="B10" t="s">
        <v>12</v>
      </c>
      <c r="C10" t="s">
        <v>9</v>
      </c>
      <c r="D10" t="s">
        <v>10</v>
      </c>
      <c r="E10">
        <v>55.86</v>
      </c>
      <c r="F10">
        <v>5.96</v>
      </c>
      <c r="G10">
        <v>83.8</v>
      </c>
      <c r="H10">
        <v>279</v>
      </c>
    </row>
    <row r="11" spans="1:8" x14ac:dyDescent="0.45">
      <c r="A11">
        <v>2023</v>
      </c>
      <c r="B11" t="s">
        <v>11</v>
      </c>
      <c r="C11" t="s">
        <v>9</v>
      </c>
      <c r="D11" t="s">
        <v>10</v>
      </c>
      <c r="E11">
        <v>54.78</v>
      </c>
      <c r="F11">
        <v>4.25</v>
      </c>
      <c r="G11">
        <v>82.2</v>
      </c>
      <c r="H11">
        <v>273</v>
      </c>
    </row>
    <row r="12" spans="1:8" x14ac:dyDescent="0.45">
      <c r="A12">
        <v>2024</v>
      </c>
      <c r="B12" t="s">
        <v>12</v>
      </c>
      <c r="C12" t="s">
        <v>9</v>
      </c>
      <c r="D12" t="s">
        <v>10</v>
      </c>
      <c r="E12">
        <v>52.89</v>
      </c>
      <c r="F12">
        <v>3.68</v>
      </c>
      <c r="G12">
        <v>79.3</v>
      </c>
      <c r="H12">
        <v>264</v>
      </c>
    </row>
    <row r="13" spans="1:8" x14ac:dyDescent="0.45">
      <c r="A13">
        <v>2022</v>
      </c>
      <c r="B13" t="s">
        <v>12</v>
      </c>
      <c r="C13" t="s">
        <v>9</v>
      </c>
      <c r="D13" t="s">
        <v>10</v>
      </c>
      <c r="E13">
        <v>51.92</v>
      </c>
      <c r="F13">
        <v>4.82</v>
      </c>
      <c r="G13">
        <v>77.900000000000006</v>
      </c>
      <c r="H13">
        <v>259</v>
      </c>
    </row>
    <row r="14" spans="1:8" x14ac:dyDescent="0.45">
      <c r="A14">
        <v>2023</v>
      </c>
      <c r="B14" t="s">
        <v>12</v>
      </c>
      <c r="C14" t="s">
        <v>9</v>
      </c>
      <c r="D14" t="s">
        <v>10</v>
      </c>
      <c r="E14">
        <v>51.26</v>
      </c>
      <c r="F14">
        <v>1.37</v>
      </c>
      <c r="G14">
        <v>76.900000000000006</v>
      </c>
      <c r="H14">
        <v>256</v>
      </c>
    </row>
    <row r="15" spans="1:8" x14ac:dyDescent="0.45">
      <c r="A15">
        <v>2022</v>
      </c>
      <c r="B15" t="s">
        <v>8</v>
      </c>
      <c r="C15" t="s">
        <v>9</v>
      </c>
      <c r="D15" t="s">
        <v>10</v>
      </c>
      <c r="E15">
        <v>50.43</v>
      </c>
      <c r="F15">
        <v>-0.05</v>
      </c>
      <c r="G15">
        <v>75.599999999999994</v>
      </c>
      <c r="H15">
        <v>252</v>
      </c>
    </row>
    <row r="16" spans="1:8" x14ac:dyDescent="0.45">
      <c r="A16">
        <v>2026</v>
      </c>
      <c r="B16" t="s">
        <v>13</v>
      </c>
      <c r="C16" t="s">
        <v>14</v>
      </c>
      <c r="D16" t="s">
        <v>10</v>
      </c>
      <c r="E16">
        <v>45.43</v>
      </c>
      <c r="F16">
        <v>2.99</v>
      </c>
      <c r="G16">
        <v>68.099999999999994</v>
      </c>
      <c r="H16">
        <v>227</v>
      </c>
    </row>
    <row r="17" spans="1:8" x14ac:dyDescent="0.45">
      <c r="A17">
        <v>2022</v>
      </c>
      <c r="B17" t="s">
        <v>11</v>
      </c>
      <c r="C17" t="s">
        <v>9</v>
      </c>
      <c r="D17" t="s">
        <v>10</v>
      </c>
      <c r="E17">
        <v>45.02</v>
      </c>
      <c r="F17">
        <v>1.44</v>
      </c>
      <c r="G17">
        <v>67.5</v>
      </c>
      <c r="H17">
        <v>225</v>
      </c>
    </row>
    <row r="18" spans="1:8" x14ac:dyDescent="0.45">
      <c r="A18">
        <v>2025</v>
      </c>
      <c r="B18" t="s">
        <v>13</v>
      </c>
      <c r="C18" t="s">
        <v>14</v>
      </c>
      <c r="D18" t="s">
        <v>10</v>
      </c>
      <c r="E18">
        <v>43.34</v>
      </c>
      <c r="F18">
        <v>2.85</v>
      </c>
      <c r="G18">
        <v>65</v>
      </c>
      <c r="H18">
        <v>216</v>
      </c>
    </row>
    <row r="19" spans="1:8" x14ac:dyDescent="0.45">
      <c r="A19">
        <v>2026</v>
      </c>
      <c r="B19" t="s">
        <v>15</v>
      </c>
      <c r="C19" t="s">
        <v>14</v>
      </c>
      <c r="D19" t="s">
        <v>10</v>
      </c>
      <c r="E19">
        <v>38.729999999999997</v>
      </c>
      <c r="F19">
        <v>1.51</v>
      </c>
      <c r="G19">
        <v>58.1</v>
      </c>
      <c r="H19">
        <v>193</v>
      </c>
    </row>
    <row r="20" spans="1:8" x14ac:dyDescent="0.45">
      <c r="A20">
        <v>2024</v>
      </c>
      <c r="B20" t="s">
        <v>13</v>
      </c>
      <c r="C20" t="s">
        <v>14</v>
      </c>
      <c r="D20" t="s">
        <v>10</v>
      </c>
      <c r="E20">
        <v>38.619999999999997</v>
      </c>
      <c r="F20">
        <v>4.5199999999999996</v>
      </c>
      <c r="G20">
        <v>57.9</v>
      </c>
      <c r="H20">
        <v>193</v>
      </c>
    </row>
    <row r="21" spans="1:8" x14ac:dyDescent="0.45">
      <c r="A21">
        <v>2025</v>
      </c>
      <c r="B21" t="s">
        <v>15</v>
      </c>
      <c r="C21" t="s">
        <v>14</v>
      </c>
      <c r="D21" t="s">
        <v>10</v>
      </c>
      <c r="E21">
        <v>38</v>
      </c>
      <c r="F21">
        <v>3.11</v>
      </c>
      <c r="G21">
        <v>57</v>
      </c>
      <c r="H21">
        <v>189</v>
      </c>
    </row>
    <row r="22" spans="1:8" x14ac:dyDescent="0.45">
      <c r="A22">
        <v>2026</v>
      </c>
      <c r="B22" t="s">
        <v>16</v>
      </c>
      <c r="C22" t="s">
        <v>17</v>
      </c>
      <c r="D22" t="s">
        <v>10</v>
      </c>
      <c r="E22">
        <v>37.94</v>
      </c>
      <c r="F22">
        <v>2.67</v>
      </c>
      <c r="G22">
        <v>56.9</v>
      </c>
      <c r="H22">
        <v>189</v>
      </c>
    </row>
    <row r="23" spans="1:8" x14ac:dyDescent="0.45">
      <c r="A23">
        <v>2023</v>
      </c>
      <c r="B23" t="s">
        <v>13</v>
      </c>
      <c r="C23" t="s">
        <v>14</v>
      </c>
      <c r="D23" t="s">
        <v>10</v>
      </c>
      <c r="E23">
        <v>37.22</v>
      </c>
      <c r="F23">
        <v>2.4300000000000002</v>
      </c>
      <c r="G23">
        <v>55.8</v>
      </c>
      <c r="H23">
        <v>186</v>
      </c>
    </row>
    <row r="24" spans="1:8" x14ac:dyDescent="0.45">
      <c r="A24">
        <v>2026</v>
      </c>
      <c r="B24" t="s">
        <v>18</v>
      </c>
      <c r="C24" t="s">
        <v>14</v>
      </c>
      <c r="D24" t="s">
        <v>10</v>
      </c>
      <c r="E24">
        <v>36.71</v>
      </c>
      <c r="F24">
        <v>2.09</v>
      </c>
      <c r="G24">
        <v>55.1</v>
      </c>
      <c r="H24">
        <v>183</v>
      </c>
    </row>
    <row r="25" spans="1:8" x14ac:dyDescent="0.45">
      <c r="A25">
        <v>2025</v>
      </c>
      <c r="B25" t="s">
        <v>18</v>
      </c>
      <c r="C25" t="s">
        <v>14</v>
      </c>
      <c r="D25" t="s">
        <v>10</v>
      </c>
      <c r="E25">
        <v>36.229999999999997</v>
      </c>
      <c r="F25">
        <v>2.54</v>
      </c>
      <c r="G25">
        <v>54.3</v>
      </c>
      <c r="H25">
        <v>181</v>
      </c>
    </row>
    <row r="26" spans="1:8" x14ac:dyDescent="0.45">
      <c r="A26">
        <v>2022</v>
      </c>
      <c r="B26" t="s">
        <v>13</v>
      </c>
      <c r="C26" t="s">
        <v>14</v>
      </c>
      <c r="D26" t="s">
        <v>10</v>
      </c>
      <c r="E26">
        <v>35.08</v>
      </c>
      <c r="F26">
        <v>1.06</v>
      </c>
      <c r="G26">
        <v>52.6</v>
      </c>
      <c r="H26">
        <v>175</v>
      </c>
    </row>
    <row r="27" spans="1:8" x14ac:dyDescent="0.45">
      <c r="A27">
        <v>2024</v>
      </c>
      <c r="B27" t="s">
        <v>15</v>
      </c>
      <c r="C27" t="s">
        <v>14</v>
      </c>
      <c r="D27" t="s">
        <v>10</v>
      </c>
      <c r="E27">
        <v>33.770000000000003</v>
      </c>
      <c r="F27">
        <v>3</v>
      </c>
      <c r="G27">
        <v>50.7</v>
      </c>
      <c r="H27">
        <v>168</v>
      </c>
    </row>
    <row r="28" spans="1:8" x14ac:dyDescent="0.45">
      <c r="A28">
        <v>2025</v>
      </c>
      <c r="B28" t="s">
        <v>16</v>
      </c>
      <c r="C28" t="s">
        <v>17</v>
      </c>
      <c r="D28" t="s">
        <v>10</v>
      </c>
      <c r="E28">
        <v>33.53</v>
      </c>
      <c r="F28">
        <v>3.79</v>
      </c>
      <c r="G28">
        <v>50.3</v>
      </c>
      <c r="H28">
        <v>167</v>
      </c>
    </row>
    <row r="29" spans="1:8" x14ac:dyDescent="0.45">
      <c r="A29">
        <v>2023</v>
      </c>
      <c r="B29" t="s">
        <v>18</v>
      </c>
      <c r="C29" t="s">
        <v>14</v>
      </c>
      <c r="D29" t="s">
        <v>10</v>
      </c>
      <c r="E29">
        <v>33.25</v>
      </c>
      <c r="F29">
        <v>2.85</v>
      </c>
      <c r="G29">
        <v>49.9</v>
      </c>
      <c r="H29">
        <v>166</v>
      </c>
    </row>
    <row r="30" spans="1:8" x14ac:dyDescent="0.45">
      <c r="A30">
        <v>2024</v>
      </c>
      <c r="B30" t="s">
        <v>18</v>
      </c>
      <c r="C30" t="s">
        <v>14</v>
      </c>
      <c r="D30" t="s">
        <v>10</v>
      </c>
      <c r="E30">
        <v>33</v>
      </c>
      <c r="F30">
        <v>2.4900000000000002</v>
      </c>
      <c r="G30">
        <v>49.5</v>
      </c>
      <c r="H30">
        <v>164</v>
      </c>
    </row>
    <row r="31" spans="1:8" x14ac:dyDescent="0.45">
      <c r="A31">
        <v>2023</v>
      </c>
      <c r="B31" t="s">
        <v>16</v>
      </c>
      <c r="C31" t="s">
        <v>17</v>
      </c>
      <c r="D31" t="s">
        <v>10</v>
      </c>
      <c r="E31">
        <v>32.619999999999997</v>
      </c>
      <c r="F31">
        <v>2.0299999999999998</v>
      </c>
      <c r="G31">
        <v>48.9</v>
      </c>
      <c r="H31">
        <v>163</v>
      </c>
    </row>
    <row r="32" spans="1:8" x14ac:dyDescent="0.45">
      <c r="A32">
        <v>2023</v>
      </c>
      <c r="B32" t="s">
        <v>15</v>
      </c>
      <c r="C32" t="s">
        <v>14</v>
      </c>
      <c r="D32" t="s">
        <v>10</v>
      </c>
      <c r="E32">
        <v>32.479999999999997</v>
      </c>
      <c r="F32">
        <v>3.5</v>
      </c>
      <c r="G32">
        <v>48.7</v>
      </c>
      <c r="H32">
        <v>162</v>
      </c>
    </row>
    <row r="33" spans="1:8" x14ac:dyDescent="0.45">
      <c r="A33">
        <v>2026</v>
      </c>
      <c r="B33" t="s">
        <v>19</v>
      </c>
      <c r="C33" t="s">
        <v>9</v>
      </c>
      <c r="D33" t="s">
        <v>20</v>
      </c>
      <c r="E33">
        <v>32.340000000000003</v>
      </c>
      <c r="F33">
        <v>3.95</v>
      </c>
      <c r="G33">
        <v>129.30000000000001</v>
      </c>
      <c r="H33">
        <v>161</v>
      </c>
    </row>
    <row r="34" spans="1:8" x14ac:dyDescent="0.45">
      <c r="A34">
        <v>2024</v>
      </c>
      <c r="B34" t="s">
        <v>16</v>
      </c>
      <c r="C34" t="s">
        <v>17</v>
      </c>
      <c r="D34" t="s">
        <v>10</v>
      </c>
      <c r="E34">
        <v>31.66</v>
      </c>
      <c r="F34">
        <v>1.1000000000000001</v>
      </c>
      <c r="G34">
        <v>47.5</v>
      </c>
      <c r="H34">
        <v>158</v>
      </c>
    </row>
    <row r="35" spans="1:8" x14ac:dyDescent="0.45">
      <c r="A35">
        <v>2025</v>
      </c>
      <c r="B35" t="s">
        <v>19</v>
      </c>
      <c r="C35" t="s">
        <v>9</v>
      </c>
      <c r="D35" t="s">
        <v>20</v>
      </c>
      <c r="E35">
        <v>29.25</v>
      </c>
      <c r="F35">
        <v>3.39</v>
      </c>
      <c r="G35">
        <v>117</v>
      </c>
      <c r="H35">
        <v>146</v>
      </c>
    </row>
    <row r="36" spans="1:8" x14ac:dyDescent="0.45">
      <c r="A36">
        <v>2026</v>
      </c>
      <c r="B36" t="s">
        <v>21</v>
      </c>
      <c r="C36" t="s">
        <v>22</v>
      </c>
      <c r="D36" t="s">
        <v>10</v>
      </c>
      <c r="E36">
        <v>29.11</v>
      </c>
      <c r="F36">
        <v>0.99</v>
      </c>
      <c r="G36">
        <v>43.7</v>
      </c>
      <c r="H36">
        <v>145</v>
      </c>
    </row>
    <row r="37" spans="1:8" x14ac:dyDescent="0.45">
      <c r="A37">
        <v>2022</v>
      </c>
      <c r="B37" t="s">
        <v>15</v>
      </c>
      <c r="C37" t="s">
        <v>14</v>
      </c>
      <c r="D37" t="s">
        <v>10</v>
      </c>
      <c r="E37">
        <v>28.11</v>
      </c>
      <c r="F37">
        <v>-0.48</v>
      </c>
      <c r="G37">
        <v>42.2</v>
      </c>
      <c r="H37">
        <v>140</v>
      </c>
    </row>
    <row r="38" spans="1:8" x14ac:dyDescent="0.45">
      <c r="A38">
        <v>2026</v>
      </c>
      <c r="B38" t="s">
        <v>23</v>
      </c>
      <c r="C38" t="s">
        <v>22</v>
      </c>
      <c r="D38" t="s">
        <v>10</v>
      </c>
      <c r="E38">
        <v>27.61</v>
      </c>
      <c r="F38">
        <v>2.1</v>
      </c>
      <c r="G38">
        <v>41.4</v>
      </c>
      <c r="H38">
        <v>138</v>
      </c>
    </row>
    <row r="39" spans="1:8" x14ac:dyDescent="0.45">
      <c r="A39">
        <v>2022</v>
      </c>
      <c r="B39" t="s">
        <v>18</v>
      </c>
      <c r="C39" t="s">
        <v>14</v>
      </c>
      <c r="D39" t="s">
        <v>10</v>
      </c>
      <c r="E39">
        <v>26.87</v>
      </c>
      <c r="F39">
        <v>1.01</v>
      </c>
      <c r="G39">
        <v>40.299999999999997</v>
      </c>
      <c r="H39">
        <v>134</v>
      </c>
    </row>
    <row r="40" spans="1:8" x14ac:dyDescent="0.45">
      <c r="A40">
        <v>2024</v>
      </c>
      <c r="B40" t="s">
        <v>19</v>
      </c>
      <c r="C40" t="s">
        <v>9</v>
      </c>
      <c r="D40" t="s">
        <v>20</v>
      </c>
      <c r="E40">
        <v>26.77</v>
      </c>
      <c r="F40">
        <v>3.64</v>
      </c>
      <c r="G40">
        <v>107.1</v>
      </c>
      <c r="H40">
        <v>133</v>
      </c>
    </row>
    <row r="41" spans="1:8" x14ac:dyDescent="0.45">
      <c r="A41">
        <v>2026</v>
      </c>
      <c r="B41" t="s">
        <v>24</v>
      </c>
      <c r="C41" t="s">
        <v>14</v>
      </c>
      <c r="D41" t="s">
        <v>10</v>
      </c>
      <c r="E41">
        <v>26.42</v>
      </c>
      <c r="F41">
        <v>0.9</v>
      </c>
      <c r="G41">
        <v>39.6</v>
      </c>
      <c r="H41">
        <v>132</v>
      </c>
    </row>
    <row r="42" spans="1:8" x14ac:dyDescent="0.45">
      <c r="A42">
        <v>2025</v>
      </c>
      <c r="B42" t="s">
        <v>21</v>
      </c>
      <c r="C42" t="s">
        <v>22</v>
      </c>
      <c r="D42" t="s">
        <v>10</v>
      </c>
      <c r="E42">
        <v>26.32</v>
      </c>
      <c r="F42">
        <v>2.5299999999999998</v>
      </c>
      <c r="G42">
        <v>39.5</v>
      </c>
      <c r="H42">
        <v>131</v>
      </c>
    </row>
    <row r="43" spans="1:8" x14ac:dyDescent="0.45">
      <c r="A43">
        <v>2023</v>
      </c>
      <c r="B43" t="s">
        <v>19</v>
      </c>
      <c r="C43" t="s">
        <v>9</v>
      </c>
      <c r="D43" t="s">
        <v>20</v>
      </c>
      <c r="E43">
        <v>25.8</v>
      </c>
      <c r="F43">
        <v>4.04</v>
      </c>
      <c r="G43">
        <v>103.2</v>
      </c>
      <c r="H43">
        <v>129</v>
      </c>
    </row>
    <row r="44" spans="1:8" x14ac:dyDescent="0.45">
      <c r="A44">
        <v>2025</v>
      </c>
      <c r="B44" t="s">
        <v>23</v>
      </c>
      <c r="C44" t="s">
        <v>22</v>
      </c>
      <c r="D44" t="s">
        <v>10</v>
      </c>
      <c r="E44">
        <v>25.33</v>
      </c>
      <c r="F44">
        <v>2.82</v>
      </c>
      <c r="G44">
        <v>38</v>
      </c>
      <c r="H44">
        <v>126</v>
      </c>
    </row>
    <row r="45" spans="1:8" x14ac:dyDescent="0.45">
      <c r="A45">
        <v>2025</v>
      </c>
      <c r="B45" t="s">
        <v>24</v>
      </c>
      <c r="C45" t="s">
        <v>14</v>
      </c>
      <c r="D45" t="s">
        <v>10</v>
      </c>
      <c r="E45">
        <v>25.17</v>
      </c>
      <c r="F45">
        <v>2.2999999999999998</v>
      </c>
      <c r="G45">
        <v>37.799999999999997</v>
      </c>
      <c r="H45">
        <v>125</v>
      </c>
    </row>
    <row r="46" spans="1:8" x14ac:dyDescent="0.45">
      <c r="A46">
        <v>2022</v>
      </c>
      <c r="B46" t="s">
        <v>19</v>
      </c>
      <c r="C46" t="s">
        <v>9</v>
      </c>
      <c r="D46" t="s">
        <v>20</v>
      </c>
      <c r="E46">
        <v>25.01</v>
      </c>
      <c r="F46">
        <v>1.58</v>
      </c>
      <c r="G46">
        <v>100</v>
      </c>
      <c r="H46">
        <v>125</v>
      </c>
    </row>
    <row r="47" spans="1:8" x14ac:dyDescent="0.45">
      <c r="A47">
        <v>2026</v>
      </c>
      <c r="B47" t="s">
        <v>25</v>
      </c>
      <c r="C47" t="s">
        <v>17</v>
      </c>
      <c r="D47" t="s">
        <v>10</v>
      </c>
      <c r="E47">
        <v>24.72</v>
      </c>
      <c r="F47">
        <v>1.71</v>
      </c>
      <c r="G47">
        <v>37.1</v>
      </c>
      <c r="H47">
        <v>123</v>
      </c>
    </row>
    <row r="48" spans="1:8" x14ac:dyDescent="0.45">
      <c r="A48">
        <v>2025</v>
      </c>
      <c r="B48" t="s">
        <v>25</v>
      </c>
      <c r="C48" t="s">
        <v>17</v>
      </c>
      <c r="D48" t="s">
        <v>10</v>
      </c>
      <c r="E48">
        <v>23.92</v>
      </c>
      <c r="F48">
        <v>2.83</v>
      </c>
      <c r="G48">
        <v>35.9</v>
      </c>
      <c r="H48">
        <v>119</v>
      </c>
    </row>
    <row r="49" spans="1:8" x14ac:dyDescent="0.45">
      <c r="A49">
        <v>2024</v>
      </c>
      <c r="B49" t="s">
        <v>21</v>
      </c>
      <c r="C49" t="s">
        <v>22</v>
      </c>
      <c r="D49" t="s">
        <v>10</v>
      </c>
      <c r="E49">
        <v>23.79</v>
      </c>
      <c r="F49">
        <v>1.36</v>
      </c>
      <c r="G49">
        <v>35.700000000000003</v>
      </c>
      <c r="H49">
        <v>118</v>
      </c>
    </row>
    <row r="50" spans="1:8" x14ac:dyDescent="0.45">
      <c r="A50">
        <v>2022</v>
      </c>
      <c r="B50" t="s">
        <v>16</v>
      </c>
      <c r="C50" t="s">
        <v>17</v>
      </c>
      <c r="D50" t="s">
        <v>10</v>
      </c>
      <c r="E50">
        <v>23.21</v>
      </c>
      <c r="F50">
        <v>0.98</v>
      </c>
      <c r="G50">
        <v>34.799999999999997</v>
      </c>
      <c r="H50">
        <v>116</v>
      </c>
    </row>
    <row r="51" spans="1:8" x14ac:dyDescent="0.45">
      <c r="A51">
        <v>2024</v>
      </c>
      <c r="B51" t="s">
        <v>24</v>
      </c>
      <c r="C51" t="s">
        <v>14</v>
      </c>
      <c r="D51" t="s">
        <v>10</v>
      </c>
      <c r="E51">
        <v>22.77</v>
      </c>
      <c r="F51">
        <v>1.46</v>
      </c>
      <c r="G51">
        <v>34.200000000000003</v>
      </c>
      <c r="H51">
        <v>113</v>
      </c>
    </row>
    <row r="52" spans="1:8" x14ac:dyDescent="0.45">
      <c r="A52">
        <v>2026</v>
      </c>
      <c r="B52" t="s">
        <v>26</v>
      </c>
      <c r="C52" t="s">
        <v>22</v>
      </c>
      <c r="D52" t="s">
        <v>10</v>
      </c>
      <c r="E52">
        <v>22.65</v>
      </c>
      <c r="F52">
        <v>1</v>
      </c>
      <c r="G52">
        <v>34</v>
      </c>
      <c r="H52">
        <v>113</v>
      </c>
    </row>
    <row r="53" spans="1:8" x14ac:dyDescent="0.45">
      <c r="A53">
        <v>2024</v>
      </c>
      <c r="B53" t="s">
        <v>23</v>
      </c>
      <c r="C53" t="s">
        <v>22</v>
      </c>
      <c r="D53" t="s">
        <v>10</v>
      </c>
      <c r="E53">
        <v>22.37</v>
      </c>
      <c r="F53">
        <v>2.27</v>
      </c>
      <c r="G53">
        <v>33.6</v>
      </c>
      <c r="H53">
        <v>111</v>
      </c>
    </row>
    <row r="54" spans="1:8" x14ac:dyDescent="0.45">
      <c r="A54">
        <v>2024</v>
      </c>
      <c r="B54" t="s">
        <v>25</v>
      </c>
      <c r="C54" t="s">
        <v>17</v>
      </c>
      <c r="D54" t="s">
        <v>10</v>
      </c>
      <c r="E54">
        <v>21.46</v>
      </c>
      <c r="F54">
        <v>2.0699999999999998</v>
      </c>
      <c r="G54">
        <v>32.200000000000003</v>
      </c>
      <c r="H54">
        <v>107</v>
      </c>
    </row>
    <row r="55" spans="1:8" x14ac:dyDescent="0.45">
      <c r="A55">
        <v>2023</v>
      </c>
      <c r="B55" t="s">
        <v>24</v>
      </c>
      <c r="C55" t="s">
        <v>14</v>
      </c>
      <c r="D55" t="s">
        <v>10</v>
      </c>
      <c r="E55">
        <v>21.23</v>
      </c>
      <c r="F55">
        <v>1.39</v>
      </c>
      <c r="G55">
        <v>31.8</v>
      </c>
      <c r="H55">
        <v>106</v>
      </c>
    </row>
    <row r="56" spans="1:8" x14ac:dyDescent="0.45">
      <c r="A56">
        <v>2025</v>
      </c>
      <c r="B56" t="s">
        <v>26</v>
      </c>
      <c r="C56" t="s">
        <v>22</v>
      </c>
      <c r="D56" t="s">
        <v>10</v>
      </c>
      <c r="E56">
        <v>21.17</v>
      </c>
      <c r="F56">
        <v>1.39</v>
      </c>
      <c r="G56">
        <v>31.8</v>
      </c>
      <c r="H56">
        <v>105</v>
      </c>
    </row>
    <row r="57" spans="1:8" x14ac:dyDescent="0.45">
      <c r="A57">
        <v>2023</v>
      </c>
      <c r="B57" t="s">
        <v>21</v>
      </c>
      <c r="C57" t="s">
        <v>22</v>
      </c>
      <c r="D57" t="s">
        <v>10</v>
      </c>
      <c r="E57">
        <v>20.85</v>
      </c>
      <c r="F57">
        <v>1.64</v>
      </c>
      <c r="G57">
        <v>31.3</v>
      </c>
      <c r="H57">
        <v>104</v>
      </c>
    </row>
    <row r="58" spans="1:8" x14ac:dyDescent="0.45">
      <c r="A58">
        <v>2023</v>
      </c>
      <c r="B58" t="s">
        <v>25</v>
      </c>
      <c r="C58" t="s">
        <v>17</v>
      </c>
      <c r="D58" t="s">
        <v>10</v>
      </c>
      <c r="E58">
        <v>20.23</v>
      </c>
      <c r="F58">
        <v>1.59</v>
      </c>
      <c r="G58">
        <v>30.3</v>
      </c>
      <c r="H58">
        <v>101</v>
      </c>
    </row>
    <row r="59" spans="1:8" x14ac:dyDescent="0.45">
      <c r="A59">
        <v>2023</v>
      </c>
      <c r="B59" t="s">
        <v>23</v>
      </c>
      <c r="C59" t="s">
        <v>22</v>
      </c>
      <c r="D59" t="s">
        <v>10</v>
      </c>
      <c r="E59">
        <v>20.2</v>
      </c>
      <c r="F59">
        <v>2.52</v>
      </c>
      <c r="G59">
        <v>30.3</v>
      </c>
      <c r="H59">
        <v>101</v>
      </c>
    </row>
    <row r="60" spans="1:8" x14ac:dyDescent="0.45">
      <c r="A60">
        <v>2026</v>
      </c>
      <c r="B60" t="s">
        <v>27</v>
      </c>
      <c r="C60" t="s">
        <v>22</v>
      </c>
      <c r="D60" t="s">
        <v>10</v>
      </c>
      <c r="E60">
        <v>20.190000000000001</v>
      </c>
      <c r="F60">
        <v>1.94</v>
      </c>
      <c r="G60">
        <v>30.3</v>
      </c>
      <c r="H60">
        <v>100</v>
      </c>
    </row>
    <row r="61" spans="1:8" x14ac:dyDescent="0.45">
      <c r="A61">
        <v>2024</v>
      </c>
      <c r="B61" t="s">
        <v>26</v>
      </c>
      <c r="C61" t="s">
        <v>22</v>
      </c>
      <c r="D61" t="s">
        <v>10</v>
      </c>
      <c r="E61">
        <v>18.88</v>
      </c>
      <c r="F61">
        <v>1.36</v>
      </c>
      <c r="G61">
        <v>28.3</v>
      </c>
      <c r="H61">
        <v>94</v>
      </c>
    </row>
    <row r="62" spans="1:8" x14ac:dyDescent="0.45">
      <c r="A62">
        <v>2022</v>
      </c>
      <c r="B62" t="s">
        <v>24</v>
      </c>
      <c r="C62" t="s">
        <v>14</v>
      </c>
      <c r="D62" t="s">
        <v>10</v>
      </c>
      <c r="E62">
        <v>18.850000000000001</v>
      </c>
      <c r="F62">
        <v>0.49</v>
      </c>
      <c r="G62">
        <v>28.3</v>
      </c>
      <c r="H62">
        <v>94</v>
      </c>
    </row>
    <row r="63" spans="1:8" x14ac:dyDescent="0.45">
      <c r="A63">
        <v>2025</v>
      </c>
      <c r="B63" t="s">
        <v>27</v>
      </c>
      <c r="C63" t="s">
        <v>22</v>
      </c>
      <c r="D63" t="s">
        <v>10</v>
      </c>
      <c r="E63">
        <v>18.809999999999999</v>
      </c>
      <c r="F63">
        <v>1.21</v>
      </c>
      <c r="G63">
        <v>28.2</v>
      </c>
      <c r="H63">
        <v>94</v>
      </c>
    </row>
    <row r="64" spans="1:8" x14ac:dyDescent="0.45">
      <c r="A64">
        <v>2022</v>
      </c>
      <c r="B64" t="s">
        <v>25</v>
      </c>
      <c r="C64" t="s">
        <v>17</v>
      </c>
      <c r="D64" t="s">
        <v>10</v>
      </c>
      <c r="E64">
        <v>18.55</v>
      </c>
      <c r="F64">
        <v>0.42</v>
      </c>
      <c r="G64">
        <v>27.8</v>
      </c>
      <c r="H64">
        <v>92</v>
      </c>
    </row>
    <row r="65" spans="1:8" x14ac:dyDescent="0.45">
      <c r="A65">
        <v>2023</v>
      </c>
      <c r="B65" t="s">
        <v>26</v>
      </c>
      <c r="C65" t="s">
        <v>22</v>
      </c>
      <c r="D65" t="s">
        <v>10</v>
      </c>
      <c r="E65">
        <v>17.77</v>
      </c>
      <c r="F65">
        <v>1.91</v>
      </c>
      <c r="G65">
        <v>26.7</v>
      </c>
      <c r="H65">
        <v>88</v>
      </c>
    </row>
    <row r="66" spans="1:8" x14ac:dyDescent="0.45">
      <c r="A66">
        <v>2026</v>
      </c>
      <c r="B66" t="s">
        <v>28</v>
      </c>
      <c r="C66" t="s">
        <v>22</v>
      </c>
      <c r="D66" t="s">
        <v>10</v>
      </c>
      <c r="E66">
        <v>17.37</v>
      </c>
      <c r="F66">
        <v>0.72</v>
      </c>
      <c r="G66">
        <v>26</v>
      </c>
      <c r="H66">
        <v>86</v>
      </c>
    </row>
    <row r="67" spans="1:8" x14ac:dyDescent="0.45">
      <c r="A67">
        <v>2024</v>
      </c>
      <c r="B67" t="s">
        <v>27</v>
      </c>
      <c r="C67" t="s">
        <v>22</v>
      </c>
      <c r="D67" t="s">
        <v>10</v>
      </c>
      <c r="E67">
        <v>16.940000000000001</v>
      </c>
      <c r="F67">
        <v>1.04</v>
      </c>
      <c r="G67">
        <v>25.4</v>
      </c>
      <c r="H67">
        <v>84</v>
      </c>
    </row>
    <row r="68" spans="1:8" x14ac:dyDescent="0.45">
      <c r="A68">
        <v>2023</v>
      </c>
      <c r="B68" t="s">
        <v>27</v>
      </c>
      <c r="C68" t="s">
        <v>22</v>
      </c>
      <c r="D68" t="s">
        <v>10</v>
      </c>
      <c r="E68">
        <v>16.59</v>
      </c>
      <c r="F68">
        <v>0.8</v>
      </c>
      <c r="G68">
        <v>24.9</v>
      </c>
      <c r="H68">
        <v>82</v>
      </c>
    </row>
    <row r="69" spans="1:8" x14ac:dyDescent="0.45">
      <c r="A69">
        <v>2026</v>
      </c>
      <c r="B69" t="s">
        <v>29</v>
      </c>
      <c r="C69" t="s">
        <v>14</v>
      </c>
      <c r="D69" t="s">
        <v>20</v>
      </c>
      <c r="E69">
        <v>16.21</v>
      </c>
      <c r="F69">
        <v>1.72</v>
      </c>
      <c r="G69">
        <v>64.8</v>
      </c>
      <c r="H69">
        <v>81</v>
      </c>
    </row>
    <row r="70" spans="1:8" x14ac:dyDescent="0.45">
      <c r="A70">
        <v>2025</v>
      </c>
      <c r="B70" t="s">
        <v>28</v>
      </c>
      <c r="C70" t="s">
        <v>22</v>
      </c>
      <c r="D70" t="s">
        <v>10</v>
      </c>
      <c r="E70">
        <v>16.2</v>
      </c>
      <c r="F70">
        <v>1.28</v>
      </c>
      <c r="G70">
        <v>24.3</v>
      </c>
      <c r="H70">
        <v>80</v>
      </c>
    </row>
    <row r="71" spans="1:8" x14ac:dyDescent="0.45">
      <c r="A71">
        <v>2024</v>
      </c>
      <c r="B71" t="s">
        <v>28</v>
      </c>
      <c r="C71" t="s">
        <v>22</v>
      </c>
      <c r="D71" t="s">
        <v>10</v>
      </c>
      <c r="E71">
        <v>15.75</v>
      </c>
      <c r="F71">
        <v>1.31</v>
      </c>
      <c r="G71">
        <v>23.6</v>
      </c>
      <c r="H71">
        <v>78</v>
      </c>
    </row>
    <row r="72" spans="1:8" x14ac:dyDescent="0.45">
      <c r="A72">
        <v>2022</v>
      </c>
      <c r="B72" t="s">
        <v>27</v>
      </c>
      <c r="C72" t="s">
        <v>22</v>
      </c>
      <c r="D72" t="s">
        <v>10</v>
      </c>
      <c r="E72">
        <v>15.73</v>
      </c>
      <c r="F72">
        <v>7.0000000000000007E-2</v>
      </c>
      <c r="G72">
        <v>23.6</v>
      </c>
      <c r="H72">
        <v>78</v>
      </c>
    </row>
    <row r="73" spans="1:8" x14ac:dyDescent="0.45">
      <c r="A73">
        <v>2026</v>
      </c>
      <c r="B73" t="s">
        <v>30</v>
      </c>
      <c r="C73" t="s">
        <v>22</v>
      </c>
      <c r="D73" t="s">
        <v>10</v>
      </c>
      <c r="E73">
        <v>15.37</v>
      </c>
      <c r="F73">
        <v>0.79</v>
      </c>
      <c r="G73">
        <v>23.1</v>
      </c>
      <c r="H73">
        <v>76</v>
      </c>
    </row>
    <row r="74" spans="1:8" x14ac:dyDescent="0.45">
      <c r="A74">
        <v>2023</v>
      </c>
      <c r="B74" t="s">
        <v>28</v>
      </c>
      <c r="C74" t="s">
        <v>22</v>
      </c>
      <c r="D74" t="s">
        <v>10</v>
      </c>
      <c r="E74">
        <v>15.19</v>
      </c>
      <c r="F74">
        <v>1.21</v>
      </c>
      <c r="G74">
        <v>22.8</v>
      </c>
      <c r="H74">
        <v>75</v>
      </c>
    </row>
    <row r="75" spans="1:8" x14ac:dyDescent="0.45">
      <c r="A75">
        <v>2024</v>
      </c>
      <c r="B75" t="s">
        <v>29</v>
      </c>
      <c r="C75" t="s">
        <v>14</v>
      </c>
      <c r="D75" t="s">
        <v>20</v>
      </c>
      <c r="E75">
        <v>14.89</v>
      </c>
      <c r="F75">
        <v>1.52</v>
      </c>
      <c r="G75">
        <v>59.6</v>
      </c>
      <c r="H75">
        <v>74</v>
      </c>
    </row>
    <row r="76" spans="1:8" x14ac:dyDescent="0.45">
      <c r="A76">
        <v>2026</v>
      </c>
      <c r="B76" t="s">
        <v>31</v>
      </c>
      <c r="C76" t="s">
        <v>22</v>
      </c>
      <c r="D76" t="s">
        <v>10</v>
      </c>
      <c r="E76">
        <v>14.62</v>
      </c>
      <c r="F76">
        <v>0.85</v>
      </c>
      <c r="G76">
        <v>21.9</v>
      </c>
      <c r="H76">
        <v>73</v>
      </c>
    </row>
    <row r="77" spans="1:8" x14ac:dyDescent="0.45">
      <c r="A77">
        <v>2026</v>
      </c>
      <c r="B77" t="s">
        <v>32</v>
      </c>
      <c r="C77" t="s">
        <v>22</v>
      </c>
      <c r="D77" t="s">
        <v>10</v>
      </c>
      <c r="E77">
        <v>14.2</v>
      </c>
      <c r="F77">
        <v>1.1499999999999999</v>
      </c>
      <c r="G77">
        <v>21.3</v>
      </c>
      <c r="H77">
        <v>71</v>
      </c>
    </row>
    <row r="78" spans="1:8" x14ac:dyDescent="0.45">
      <c r="A78">
        <v>2024</v>
      </c>
      <c r="B78" t="s">
        <v>30</v>
      </c>
      <c r="C78" t="s">
        <v>22</v>
      </c>
      <c r="D78" t="s">
        <v>10</v>
      </c>
      <c r="E78">
        <v>14.1</v>
      </c>
      <c r="F78">
        <v>0.95</v>
      </c>
      <c r="G78">
        <v>21.1</v>
      </c>
      <c r="H78">
        <v>70</v>
      </c>
    </row>
    <row r="79" spans="1:8" x14ac:dyDescent="0.45">
      <c r="A79">
        <v>2025</v>
      </c>
      <c r="B79" t="s">
        <v>30</v>
      </c>
      <c r="C79" t="s">
        <v>22</v>
      </c>
      <c r="D79" t="s">
        <v>10</v>
      </c>
      <c r="E79">
        <v>14.05</v>
      </c>
      <c r="F79">
        <v>0.77</v>
      </c>
      <c r="G79">
        <v>21.1</v>
      </c>
      <c r="H79">
        <v>70</v>
      </c>
    </row>
    <row r="80" spans="1:8" x14ac:dyDescent="0.45">
      <c r="A80">
        <v>2025</v>
      </c>
      <c r="B80" t="s">
        <v>29</v>
      </c>
      <c r="C80" t="s">
        <v>14</v>
      </c>
      <c r="D80" t="s">
        <v>20</v>
      </c>
      <c r="E80">
        <v>13.95</v>
      </c>
      <c r="F80">
        <v>1.48</v>
      </c>
      <c r="G80">
        <v>55.8</v>
      </c>
      <c r="H80">
        <v>69</v>
      </c>
    </row>
    <row r="81" spans="1:8" x14ac:dyDescent="0.45">
      <c r="A81">
        <v>2025</v>
      </c>
      <c r="B81" t="s">
        <v>33</v>
      </c>
      <c r="C81" t="s">
        <v>34</v>
      </c>
      <c r="D81" t="s">
        <v>10</v>
      </c>
      <c r="E81">
        <v>13.7</v>
      </c>
      <c r="F81">
        <v>1.07</v>
      </c>
      <c r="G81">
        <v>20.5</v>
      </c>
      <c r="H81">
        <v>68</v>
      </c>
    </row>
    <row r="82" spans="1:8" x14ac:dyDescent="0.45">
      <c r="A82">
        <v>2026</v>
      </c>
      <c r="B82" t="s">
        <v>33</v>
      </c>
      <c r="C82" t="s">
        <v>34</v>
      </c>
      <c r="D82" t="s">
        <v>10</v>
      </c>
      <c r="E82">
        <v>13.27</v>
      </c>
      <c r="F82">
        <v>0.38</v>
      </c>
      <c r="G82">
        <v>19.899999999999999</v>
      </c>
      <c r="H82">
        <v>66</v>
      </c>
    </row>
    <row r="83" spans="1:8" x14ac:dyDescent="0.45">
      <c r="A83">
        <v>2025</v>
      </c>
      <c r="B83" t="s">
        <v>31</v>
      </c>
      <c r="C83" t="s">
        <v>22</v>
      </c>
      <c r="D83" t="s">
        <v>10</v>
      </c>
      <c r="E83">
        <v>13.23</v>
      </c>
      <c r="F83">
        <v>0.7</v>
      </c>
      <c r="G83">
        <v>19.8</v>
      </c>
      <c r="H83">
        <v>66</v>
      </c>
    </row>
    <row r="84" spans="1:8" x14ac:dyDescent="0.45">
      <c r="A84">
        <v>2026</v>
      </c>
      <c r="B84" t="s">
        <v>35</v>
      </c>
      <c r="C84" t="s">
        <v>9</v>
      </c>
      <c r="D84" t="s">
        <v>36</v>
      </c>
      <c r="E84">
        <v>13.17</v>
      </c>
      <c r="F84">
        <v>0.73</v>
      </c>
      <c r="G84">
        <v>39.5</v>
      </c>
      <c r="H84">
        <v>65</v>
      </c>
    </row>
    <row r="85" spans="1:8" x14ac:dyDescent="0.45">
      <c r="A85">
        <v>2025</v>
      </c>
      <c r="B85" t="s">
        <v>32</v>
      </c>
      <c r="C85" t="s">
        <v>22</v>
      </c>
      <c r="D85" t="s">
        <v>10</v>
      </c>
      <c r="E85">
        <v>13.17</v>
      </c>
      <c r="F85">
        <v>1.03</v>
      </c>
      <c r="G85">
        <v>19.8</v>
      </c>
      <c r="H85">
        <v>65</v>
      </c>
    </row>
    <row r="86" spans="1:8" x14ac:dyDescent="0.45">
      <c r="A86">
        <v>2023</v>
      </c>
      <c r="B86" t="s">
        <v>30</v>
      </c>
      <c r="C86" t="s">
        <v>22</v>
      </c>
      <c r="D86" t="s">
        <v>10</v>
      </c>
      <c r="E86">
        <v>12.99</v>
      </c>
      <c r="F86">
        <v>1.1599999999999999</v>
      </c>
      <c r="G86">
        <v>19.5</v>
      </c>
      <c r="H86">
        <v>64</v>
      </c>
    </row>
    <row r="87" spans="1:8" x14ac:dyDescent="0.45">
      <c r="A87">
        <v>2023</v>
      </c>
      <c r="B87" t="s">
        <v>29</v>
      </c>
      <c r="C87" t="s">
        <v>14</v>
      </c>
      <c r="D87" t="s">
        <v>20</v>
      </c>
      <c r="E87">
        <v>12.91</v>
      </c>
      <c r="F87">
        <v>1.07</v>
      </c>
      <c r="G87">
        <v>51.6</v>
      </c>
      <c r="H87">
        <v>64</v>
      </c>
    </row>
    <row r="88" spans="1:8" x14ac:dyDescent="0.45">
      <c r="A88">
        <v>2023</v>
      </c>
      <c r="B88" t="s">
        <v>32</v>
      </c>
      <c r="C88" t="s">
        <v>22</v>
      </c>
      <c r="D88" t="s">
        <v>10</v>
      </c>
      <c r="E88">
        <v>12.41</v>
      </c>
      <c r="F88">
        <v>1.1000000000000001</v>
      </c>
      <c r="G88">
        <v>18.600000000000001</v>
      </c>
      <c r="H88">
        <v>62</v>
      </c>
    </row>
    <row r="89" spans="1:8" x14ac:dyDescent="0.45">
      <c r="A89">
        <v>2024</v>
      </c>
      <c r="B89" t="s">
        <v>33</v>
      </c>
      <c r="C89" t="s">
        <v>34</v>
      </c>
      <c r="D89" t="s">
        <v>10</v>
      </c>
      <c r="E89">
        <v>12.35</v>
      </c>
      <c r="F89">
        <v>0.72</v>
      </c>
      <c r="G89">
        <v>18.5</v>
      </c>
      <c r="H89">
        <v>61</v>
      </c>
    </row>
    <row r="90" spans="1:8" x14ac:dyDescent="0.45">
      <c r="A90">
        <v>2024</v>
      </c>
      <c r="B90" t="s">
        <v>31</v>
      </c>
      <c r="C90" t="s">
        <v>22</v>
      </c>
      <c r="D90" t="s">
        <v>10</v>
      </c>
      <c r="E90">
        <v>12.33</v>
      </c>
      <c r="F90">
        <v>1.34</v>
      </c>
      <c r="G90">
        <v>18.5</v>
      </c>
      <c r="H90">
        <v>61</v>
      </c>
    </row>
    <row r="91" spans="1:8" x14ac:dyDescent="0.45">
      <c r="A91">
        <v>2024</v>
      </c>
      <c r="B91" t="s">
        <v>32</v>
      </c>
      <c r="C91" t="s">
        <v>22</v>
      </c>
      <c r="D91" t="s">
        <v>10</v>
      </c>
      <c r="E91">
        <v>12.27</v>
      </c>
      <c r="F91">
        <v>1.19</v>
      </c>
      <c r="G91">
        <v>18.399999999999999</v>
      </c>
      <c r="H91">
        <v>61</v>
      </c>
    </row>
    <row r="92" spans="1:8" x14ac:dyDescent="0.45">
      <c r="A92">
        <v>2026</v>
      </c>
      <c r="B92" t="s">
        <v>37</v>
      </c>
      <c r="C92" t="s">
        <v>14</v>
      </c>
      <c r="D92" t="s">
        <v>20</v>
      </c>
      <c r="E92">
        <v>12.04</v>
      </c>
      <c r="F92">
        <v>1.18</v>
      </c>
      <c r="G92">
        <v>48.2</v>
      </c>
      <c r="H92">
        <v>60</v>
      </c>
    </row>
    <row r="93" spans="1:8" x14ac:dyDescent="0.45">
      <c r="A93">
        <v>2025</v>
      </c>
      <c r="B93" t="s">
        <v>37</v>
      </c>
      <c r="C93" t="s">
        <v>14</v>
      </c>
      <c r="D93" t="s">
        <v>20</v>
      </c>
      <c r="E93">
        <v>11.94</v>
      </c>
      <c r="F93">
        <v>1.21</v>
      </c>
      <c r="G93">
        <v>47.8</v>
      </c>
      <c r="H93">
        <v>59</v>
      </c>
    </row>
    <row r="94" spans="1:8" x14ac:dyDescent="0.45">
      <c r="A94">
        <v>2022</v>
      </c>
      <c r="B94" t="s">
        <v>21</v>
      </c>
      <c r="C94" t="s">
        <v>22</v>
      </c>
      <c r="D94" t="s">
        <v>10</v>
      </c>
      <c r="E94">
        <v>11.93</v>
      </c>
      <c r="F94">
        <v>0.56999999999999995</v>
      </c>
      <c r="G94">
        <v>17.899999999999999</v>
      </c>
      <c r="H94">
        <v>59</v>
      </c>
    </row>
    <row r="95" spans="1:8" x14ac:dyDescent="0.45">
      <c r="A95">
        <v>2023</v>
      </c>
      <c r="B95" t="s">
        <v>33</v>
      </c>
      <c r="C95" t="s">
        <v>34</v>
      </c>
      <c r="D95" t="s">
        <v>10</v>
      </c>
      <c r="E95">
        <v>11.93</v>
      </c>
      <c r="F95">
        <v>1.18</v>
      </c>
      <c r="G95">
        <v>17.899999999999999</v>
      </c>
      <c r="H95">
        <v>59</v>
      </c>
    </row>
    <row r="96" spans="1:8" x14ac:dyDescent="0.45">
      <c r="A96">
        <v>2023</v>
      </c>
      <c r="B96" t="s">
        <v>31</v>
      </c>
      <c r="C96" t="s">
        <v>22</v>
      </c>
      <c r="D96" t="s">
        <v>10</v>
      </c>
      <c r="E96">
        <v>11.76</v>
      </c>
      <c r="F96">
        <v>0.9</v>
      </c>
      <c r="G96">
        <v>17.600000000000001</v>
      </c>
      <c r="H96">
        <v>58</v>
      </c>
    </row>
    <row r="97" spans="1:8" x14ac:dyDescent="0.45">
      <c r="A97">
        <v>2024</v>
      </c>
      <c r="B97" t="s">
        <v>37</v>
      </c>
      <c r="C97" t="s">
        <v>14</v>
      </c>
      <c r="D97" t="s">
        <v>20</v>
      </c>
      <c r="E97">
        <v>11.7</v>
      </c>
      <c r="F97">
        <v>2</v>
      </c>
      <c r="G97">
        <v>46.8</v>
      </c>
      <c r="H97">
        <v>58</v>
      </c>
    </row>
    <row r="98" spans="1:8" x14ac:dyDescent="0.45">
      <c r="A98">
        <v>2025</v>
      </c>
      <c r="B98" t="s">
        <v>35</v>
      </c>
      <c r="C98" t="s">
        <v>9</v>
      </c>
      <c r="D98" t="s">
        <v>36</v>
      </c>
      <c r="E98">
        <v>11.44</v>
      </c>
      <c r="F98">
        <v>0.81</v>
      </c>
      <c r="G98">
        <v>34.299999999999997</v>
      </c>
      <c r="H98">
        <v>57</v>
      </c>
    </row>
    <row r="99" spans="1:8" x14ac:dyDescent="0.45">
      <c r="A99">
        <v>2023</v>
      </c>
      <c r="B99" t="s">
        <v>37</v>
      </c>
      <c r="C99" t="s">
        <v>14</v>
      </c>
      <c r="D99" t="s">
        <v>20</v>
      </c>
      <c r="E99">
        <v>11.22</v>
      </c>
      <c r="F99">
        <v>1.45</v>
      </c>
      <c r="G99">
        <v>44.9</v>
      </c>
      <c r="H99">
        <v>56</v>
      </c>
    </row>
    <row r="100" spans="1:8" x14ac:dyDescent="0.45">
      <c r="A100">
        <v>2022</v>
      </c>
      <c r="B100" t="s">
        <v>29</v>
      </c>
      <c r="C100" t="s">
        <v>14</v>
      </c>
      <c r="D100" t="s">
        <v>20</v>
      </c>
      <c r="E100">
        <v>11.11</v>
      </c>
      <c r="F100">
        <v>-0.28999999999999998</v>
      </c>
      <c r="G100">
        <v>44.4</v>
      </c>
      <c r="H100">
        <v>55</v>
      </c>
    </row>
    <row r="101" spans="1:8" x14ac:dyDescent="0.45">
      <c r="A101">
        <v>2024</v>
      </c>
      <c r="B101" t="s">
        <v>35</v>
      </c>
      <c r="C101" t="s">
        <v>9</v>
      </c>
      <c r="D101" t="s">
        <v>36</v>
      </c>
      <c r="E101">
        <v>10.84</v>
      </c>
      <c r="F101">
        <v>1.36</v>
      </c>
      <c r="G101">
        <v>32.5</v>
      </c>
      <c r="H101">
        <v>54</v>
      </c>
    </row>
    <row r="102" spans="1:8" x14ac:dyDescent="0.45">
      <c r="A102">
        <v>2022</v>
      </c>
      <c r="B102" t="s">
        <v>31</v>
      </c>
      <c r="C102" t="s">
        <v>22</v>
      </c>
      <c r="D102" t="s">
        <v>10</v>
      </c>
      <c r="E102">
        <v>10.75</v>
      </c>
      <c r="F102">
        <v>0.33</v>
      </c>
      <c r="G102">
        <v>16.100000000000001</v>
      </c>
      <c r="H102">
        <v>53</v>
      </c>
    </row>
    <row r="103" spans="1:8" x14ac:dyDescent="0.45">
      <c r="A103">
        <v>2022</v>
      </c>
      <c r="B103" t="s">
        <v>32</v>
      </c>
      <c r="C103" t="s">
        <v>22</v>
      </c>
      <c r="D103" t="s">
        <v>10</v>
      </c>
      <c r="E103">
        <v>10.69</v>
      </c>
      <c r="F103">
        <v>0.22</v>
      </c>
      <c r="G103">
        <v>16</v>
      </c>
      <c r="H103">
        <v>53</v>
      </c>
    </row>
    <row r="104" spans="1:8" x14ac:dyDescent="0.45">
      <c r="A104">
        <v>2022</v>
      </c>
      <c r="B104" t="s">
        <v>28</v>
      </c>
      <c r="C104" t="s">
        <v>22</v>
      </c>
      <c r="D104" t="s">
        <v>10</v>
      </c>
      <c r="E104">
        <v>10.38</v>
      </c>
      <c r="F104">
        <v>0.56000000000000005</v>
      </c>
      <c r="G104">
        <v>15.6</v>
      </c>
      <c r="H104">
        <v>51</v>
      </c>
    </row>
    <row r="105" spans="1:8" x14ac:dyDescent="0.45">
      <c r="A105">
        <v>2025</v>
      </c>
      <c r="B105" t="s">
        <v>38</v>
      </c>
      <c r="C105" t="s">
        <v>9</v>
      </c>
      <c r="D105" t="s">
        <v>20</v>
      </c>
      <c r="E105">
        <v>10.16</v>
      </c>
      <c r="F105">
        <v>0.83</v>
      </c>
      <c r="G105">
        <v>40.700000000000003</v>
      </c>
      <c r="H105">
        <v>50</v>
      </c>
    </row>
    <row r="106" spans="1:8" x14ac:dyDescent="0.45">
      <c r="A106">
        <v>2023</v>
      </c>
      <c r="B106" t="s">
        <v>35</v>
      </c>
      <c r="C106" t="s">
        <v>9</v>
      </c>
      <c r="D106" t="s">
        <v>36</v>
      </c>
      <c r="E106">
        <v>9.9499999999999993</v>
      </c>
      <c r="F106">
        <v>1.33</v>
      </c>
      <c r="G106">
        <v>29.9</v>
      </c>
      <c r="H106">
        <v>49</v>
      </c>
    </row>
    <row r="107" spans="1:8" x14ac:dyDescent="0.45">
      <c r="A107">
        <v>2026</v>
      </c>
      <c r="B107" t="s">
        <v>38</v>
      </c>
      <c r="C107" t="s">
        <v>9</v>
      </c>
      <c r="D107" t="s">
        <v>20</v>
      </c>
      <c r="E107">
        <v>9.9</v>
      </c>
      <c r="F107">
        <v>1.17</v>
      </c>
      <c r="G107">
        <v>39.6</v>
      </c>
      <c r="H107">
        <v>49</v>
      </c>
    </row>
    <row r="108" spans="1:8" x14ac:dyDescent="0.45">
      <c r="A108">
        <v>2026</v>
      </c>
      <c r="B108" t="s">
        <v>39</v>
      </c>
      <c r="C108" t="s">
        <v>22</v>
      </c>
      <c r="D108" t="s">
        <v>20</v>
      </c>
      <c r="E108">
        <v>9.7100000000000009</v>
      </c>
      <c r="F108">
        <v>1.27</v>
      </c>
      <c r="G108">
        <v>38.799999999999997</v>
      </c>
      <c r="H108">
        <v>48</v>
      </c>
    </row>
    <row r="109" spans="1:8" x14ac:dyDescent="0.45">
      <c r="A109">
        <v>2023</v>
      </c>
      <c r="B109" t="s">
        <v>38</v>
      </c>
      <c r="C109" t="s">
        <v>9</v>
      </c>
      <c r="D109" t="s">
        <v>20</v>
      </c>
      <c r="E109">
        <v>9.5299999999999994</v>
      </c>
      <c r="F109">
        <v>1.19</v>
      </c>
      <c r="G109">
        <v>38.1</v>
      </c>
      <c r="H109">
        <v>47</v>
      </c>
    </row>
    <row r="110" spans="1:8" x14ac:dyDescent="0.45">
      <c r="A110">
        <v>2025</v>
      </c>
      <c r="B110" t="s">
        <v>39</v>
      </c>
      <c r="C110" t="s">
        <v>22</v>
      </c>
      <c r="D110" t="s">
        <v>20</v>
      </c>
      <c r="E110">
        <v>9.52</v>
      </c>
      <c r="F110">
        <v>1.06</v>
      </c>
      <c r="G110">
        <v>38.1</v>
      </c>
      <c r="H110">
        <v>47</v>
      </c>
    </row>
    <row r="111" spans="1:8" x14ac:dyDescent="0.45">
      <c r="A111">
        <v>2026</v>
      </c>
      <c r="B111" t="s">
        <v>40</v>
      </c>
      <c r="C111" t="s">
        <v>17</v>
      </c>
      <c r="D111" t="s">
        <v>10</v>
      </c>
      <c r="E111">
        <v>9.49</v>
      </c>
      <c r="F111">
        <v>-1.81</v>
      </c>
      <c r="G111">
        <v>14.2</v>
      </c>
      <c r="H111">
        <v>47</v>
      </c>
    </row>
    <row r="112" spans="1:8" x14ac:dyDescent="0.45">
      <c r="A112">
        <v>2022</v>
      </c>
      <c r="B112" t="s">
        <v>35</v>
      </c>
      <c r="C112" t="s">
        <v>9</v>
      </c>
      <c r="D112" t="s">
        <v>36</v>
      </c>
      <c r="E112">
        <v>9.35</v>
      </c>
      <c r="F112">
        <v>0.16</v>
      </c>
      <c r="G112">
        <v>28.1</v>
      </c>
      <c r="H112">
        <v>46</v>
      </c>
    </row>
    <row r="113" spans="1:8" x14ac:dyDescent="0.45">
      <c r="A113">
        <v>2022</v>
      </c>
      <c r="B113" t="s">
        <v>38</v>
      </c>
      <c r="C113" t="s">
        <v>9</v>
      </c>
      <c r="D113" t="s">
        <v>20</v>
      </c>
      <c r="E113">
        <v>9.24</v>
      </c>
      <c r="F113">
        <v>0.52</v>
      </c>
      <c r="G113">
        <v>37</v>
      </c>
      <c r="H113">
        <v>46</v>
      </c>
    </row>
    <row r="114" spans="1:8" x14ac:dyDescent="0.45">
      <c r="A114">
        <v>2024</v>
      </c>
      <c r="B114" t="s">
        <v>38</v>
      </c>
      <c r="C114" t="s">
        <v>9</v>
      </c>
      <c r="D114" t="s">
        <v>20</v>
      </c>
      <c r="E114">
        <v>9.1999999999999993</v>
      </c>
      <c r="F114">
        <v>0.7</v>
      </c>
      <c r="G114">
        <v>36.799999999999997</v>
      </c>
      <c r="H114">
        <v>45</v>
      </c>
    </row>
    <row r="115" spans="1:8" x14ac:dyDescent="0.45">
      <c r="A115">
        <v>2022</v>
      </c>
      <c r="B115" t="s">
        <v>33</v>
      </c>
      <c r="C115" t="s">
        <v>34</v>
      </c>
      <c r="D115" t="s">
        <v>10</v>
      </c>
      <c r="E115">
        <v>9.15</v>
      </c>
      <c r="F115">
        <v>0.37</v>
      </c>
      <c r="G115">
        <v>13.7</v>
      </c>
      <c r="H115">
        <v>45</v>
      </c>
    </row>
    <row r="116" spans="1:8" x14ac:dyDescent="0.45">
      <c r="A116">
        <v>2025</v>
      </c>
      <c r="B116" t="s">
        <v>40</v>
      </c>
      <c r="C116" t="s">
        <v>17</v>
      </c>
      <c r="D116" t="s">
        <v>10</v>
      </c>
      <c r="E116">
        <v>8.7100000000000009</v>
      </c>
      <c r="F116">
        <v>0.79</v>
      </c>
      <c r="G116">
        <v>13.1</v>
      </c>
      <c r="H116">
        <v>43</v>
      </c>
    </row>
    <row r="117" spans="1:8" x14ac:dyDescent="0.45">
      <c r="A117">
        <v>2022</v>
      </c>
      <c r="B117" t="s">
        <v>23</v>
      </c>
      <c r="C117" t="s">
        <v>22</v>
      </c>
      <c r="D117" t="s">
        <v>10</v>
      </c>
      <c r="E117">
        <v>8.6999999999999993</v>
      </c>
      <c r="F117">
        <v>0.11</v>
      </c>
      <c r="G117">
        <v>13.1</v>
      </c>
      <c r="H117">
        <v>43</v>
      </c>
    </row>
    <row r="118" spans="1:8" x14ac:dyDescent="0.45">
      <c r="A118">
        <v>2026</v>
      </c>
      <c r="B118" t="s">
        <v>41</v>
      </c>
      <c r="C118" t="s">
        <v>17</v>
      </c>
      <c r="D118" t="s">
        <v>10</v>
      </c>
      <c r="E118">
        <v>8.59</v>
      </c>
      <c r="F118">
        <v>0.56000000000000005</v>
      </c>
      <c r="G118">
        <v>12.9</v>
      </c>
      <c r="H118">
        <v>42</v>
      </c>
    </row>
    <row r="119" spans="1:8" x14ac:dyDescent="0.45">
      <c r="A119">
        <v>2024</v>
      </c>
      <c r="B119" t="s">
        <v>39</v>
      </c>
      <c r="C119" t="s">
        <v>22</v>
      </c>
      <c r="D119" t="s">
        <v>20</v>
      </c>
      <c r="E119">
        <v>8.34</v>
      </c>
      <c r="F119">
        <v>1.02</v>
      </c>
      <c r="G119">
        <v>33.4</v>
      </c>
      <c r="H119">
        <v>41</v>
      </c>
    </row>
    <row r="120" spans="1:8" x14ac:dyDescent="0.45">
      <c r="A120">
        <v>2025</v>
      </c>
      <c r="B120" t="s">
        <v>41</v>
      </c>
      <c r="C120" t="s">
        <v>17</v>
      </c>
      <c r="D120" t="s">
        <v>10</v>
      </c>
      <c r="E120">
        <v>8.02</v>
      </c>
      <c r="F120">
        <v>0.53</v>
      </c>
      <c r="G120">
        <v>12</v>
      </c>
      <c r="H120">
        <v>40</v>
      </c>
    </row>
    <row r="121" spans="1:8" x14ac:dyDescent="0.45">
      <c r="A121">
        <v>2024</v>
      </c>
      <c r="B121" t="s">
        <v>40</v>
      </c>
      <c r="C121" t="s">
        <v>17</v>
      </c>
      <c r="D121" t="s">
        <v>10</v>
      </c>
      <c r="E121">
        <v>7.79</v>
      </c>
      <c r="F121">
        <v>0.81</v>
      </c>
      <c r="G121">
        <v>11.7</v>
      </c>
      <c r="H121">
        <v>38</v>
      </c>
    </row>
    <row r="122" spans="1:8" x14ac:dyDescent="0.45">
      <c r="A122">
        <v>2022</v>
      </c>
      <c r="B122" t="s">
        <v>37</v>
      </c>
      <c r="C122" t="s">
        <v>14</v>
      </c>
      <c r="D122" t="s">
        <v>20</v>
      </c>
      <c r="E122">
        <v>7.65</v>
      </c>
      <c r="F122">
        <v>-0.04</v>
      </c>
      <c r="G122">
        <v>30.6</v>
      </c>
      <c r="H122">
        <v>38</v>
      </c>
    </row>
    <row r="123" spans="1:8" x14ac:dyDescent="0.45">
      <c r="A123">
        <v>2023</v>
      </c>
      <c r="B123" t="s">
        <v>39</v>
      </c>
      <c r="C123" t="s">
        <v>22</v>
      </c>
      <c r="D123" t="s">
        <v>20</v>
      </c>
      <c r="E123">
        <v>7.53</v>
      </c>
      <c r="F123">
        <v>0.85</v>
      </c>
      <c r="G123">
        <v>30.1</v>
      </c>
      <c r="H123">
        <v>37</v>
      </c>
    </row>
    <row r="124" spans="1:8" x14ac:dyDescent="0.45">
      <c r="A124">
        <v>2024</v>
      </c>
      <c r="B124" t="s">
        <v>41</v>
      </c>
      <c r="C124" t="s">
        <v>17</v>
      </c>
      <c r="D124" t="s">
        <v>10</v>
      </c>
      <c r="E124">
        <v>7.48</v>
      </c>
      <c r="F124">
        <v>0.32</v>
      </c>
      <c r="G124">
        <v>11.2</v>
      </c>
      <c r="H124">
        <v>37</v>
      </c>
    </row>
    <row r="125" spans="1:8" x14ac:dyDescent="0.45">
      <c r="A125">
        <v>2022</v>
      </c>
      <c r="B125" t="s">
        <v>26</v>
      </c>
      <c r="C125" t="s">
        <v>22</v>
      </c>
      <c r="D125" t="s">
        <v>10</v>
      </c>
      <c r="E125">
        <v>7.16</v>
      </c>
      <c r="F125">
        <v>0.2</v>
      </c>
      <c r="G125">
        <v>10.7</v>
      </c>
      <c r="H125">
        <v>35</v>
      </c>
    </row>
    <row r="126" spans="1:8" x14ac:dyDescent="0.45">
      <c r="A126">
        <v>2023</v>
      </c>
      <c r="B126" t="s">
        <v>40</v>
      </c>
      <c r="C126" t="s">
        <v>17</v>
      </c>
      <c r="D126" t="s">
        <v>10</v>
      </c>
      <c r="E126">
        <v>6.88</v>
      </c>
      <c r="F126">
        <v>0.36</v>
      </c>
      <c r="G126">
        <v>10.3</v>
      </c>
      <c r="H126">
        <v>34</v>
      </c>
    </row>
    <row r="127" spans="1:8" x14ac:dyDescent="0.45">
      <c r="A127">
        <v>2023</v>
      </c>
      <c r="B127" t="s">
        <v>41</v>
      </c>
      <c r="C127" t="s">
        <v>17</v>
      </c>
      <c r="D127" t="s">
        <v>10</v>
      </c>
      <c r="E127">
        <v>6.61</v>
      </c>
      <c r="F127">
        <v>0.83</v>
      </c>
      <c r="G127">
        <v>9.9</v>
      </c>
      <c r="H127">
        <v>33</v>
      </c>
    </row>
    <row r="128" spans="1:8" x14ac:dyDescent="0.45">
      <c r="A128">
        <v>2022</v>
      </c>
      <c r="B128" t="s">
        <v>30</v>
      </c>
      <c r="C128" t="s">
        <v>22</v>
      </c>
      <c r="D128" t="s">
        <v>10</v>
      </c>
      <c r="E128">
        <v>6.16</v>
      </c>
      <c r="F128">
        <v>0.23</v>
      </c>
      <c r="G128">
        <v>9.1999999999999993</v>
      </c>
      <c r="H128">
        <v>30</v>
      </c>
    </row>
    <row r="129" spans="1:8" x14ac:dyDescent="0.45">
      <c r="A129">
        <v>2025</v>
      </c>
      <c r="B129" t="s">
        <v>42</v>
      </c>
      <c r="C129" t="s">
        <v>14</v>
      </c>
      <c r="D129" t="s">
        <v>10</v>
      </c>
      <c r="E129">
        <v>5.74</v>
      </c>
      <c r="F129">
        <v>0.63</v>
      </c>
      <c r="G129">
        <v>8.6</v>
      </c>
      <c r="H129">
        <v>28</v>
      </c>
    </row>
    <row r="130" spans="1:8" x14ac:dyDescent="0.45">
      <c r="A130">
        <v>2026</v>
      </c>
      <c r="B130" t="s">
        <v>42</v>
      </c>
      <c r="C130" t="s">
        <v>14</v>
      </c>
      <c r="D130" t="s">
        <v>10</v>
      </c>
      <c r="E130">
        <v>5.66</v>
      </c>
      <c r="F130">
        <v>-0.28999999999999998</v>
      </c>
      <c r="G130">
        <v>8.5</v>
      </c>
      <c r="H130">
        <v>28</v>
      </c>
    </row>
    <row r="131" spans="1:8" x14ac:dyDescent="0.45">
      <c r="A131">
        <v>2022</v>
      </c>
      <c r="B131" t="s">
        <v>41</v>
      </c>
      <c r="C131" t="s">
        <v>17</v>
      </c>
      <c r="D131" t="s">
        <v>10</v>
      </c>
      <c r="E131">
        <v>5.63</v>
      </c>
      <c r="F131">
        <v>0.02</v>
      </c>
      <c r="G131">
        <v>8.5</v>
      </c>
      <c r="H131">
        <v>28</v>
      </c>
    </row>
    <row r="132" spans="1:8" x14ac:dyDescent="0.45">
      <c r="A132">
        <v>2024</v>
      </c>
      <c r="B132" t="s">
        <v>42</v>
      </c>
      <c r="C132" t="s">
        <v>14</v>
      </c>
      <c r="D132" t="s">
        <v>10</v>
      </c>
      <c r="E132">
        <v>5.56</v>
      </c>
      <c r="F132">
        <v>0.49</v>
      </c>
      <c r="G132">
        <v>8.3000000000000007</v>
      </c>
      <c r="H132">
        <v>27</v>
      </c>
    </row>
    <row r="133" spans="1:8" x14ac:dyDescent="0.45">
      <c r="A133">
        <v>2022</v>
      </c>
      <c r="B133" t="s">
        <v>40</v>
      </c>
      <c r="C133" t="s">
        <v>17</v>
      </c>
      <c r="D133" t="s">
        <v>10</v>
      </c>
      <c r="E133">
        <v>5.22</v>
      </c>
      <c r="F133">
        <v>0.22</v>
      </c>
      <c r="G133">
        <v>7.8</v>
      </c>
      <c r="H133">
        <v>26</v>
      </c>
    </row>
    <row r="134" spans="1:8" x14ac:dyDescent="0.45">
      <c r="A134">
        <v>2022</v>
      </c>
      <c r="B134" t="s">
        <v>39</v>
      </c>
      <c r="C134" t="s">
        <v>22</v>
      </c>
      <c r="D134" t="s">
        <v>20</v>
      </c>
      <c r="E134">
        <v>5.18</v>
      </c>
      <c r="F134">
        <v>0.27</v>
      </c>
      <c r="G134">
        <v>20.7</v>
      </c>
      <c r="H134">
        <v>25</v>
      </c>
    </row>
    <row r="135" spans="1:8" x14ac:dyDescent="0.45">
      <c r="A135">
        <v>2025</v>
      </c>
      <c r="B135" t="s">
        <v>43</v>
      </c>
      <c r="C135" t="s">
        <v>22</v>
      </c>
      <c r="D135" t="s">
        <v>20</v>
      </c>
      <c r="E135">
        <v>5.12</v>
      </c>
      <c r="F135">
        <v>0.56000000000000005</v>
      </c>
      <c r="G135">
        <v>20.5</v>
      </c>
      <c r="H135">
        <v>25</v>
      </c>
    </row>
    <row r="136" spans="1:8" x14ac:dyDescent="0.45">
      <c r="A136">
        <v>2026</v>
      </c>
      <c r="B136" t="s">
        <v>43</v>
      </c>
      <c r="C136" t="s">
        <v>22</v>
      </c>
      <c r="D136" t="s">
        <v>20</v>
      </c>
      <c r="E136">
        <v>5.0199999999999996</v>
      </c>
      <c r="F136">
        <v>0.36</v>
      </c>
      <c r="G136">
        <v>20.100000000000001</v>
      </c>
      <c r="H136">
        <v>25</v>
      </c>
    </row>
    <row r="137" spans="1:8" x14ac:dyDescent="0.45">
      <c r="A137">
        <v>2023</v>
      </c>
      <c r="B137" t="s">
        <v>42</v>
      </c>
      <c r="C137" t="s">
        <v>14</v>
      </c>
      <c r="D137" t="s">
        <v>10</v>
      </c>
      <c r="E137">
        <v>4.9400000000000004</v>
      </c>
      <c r="F137">
        <v>0.6</v>
      </c>
      <c r="G137">
        <v>7.4</v>
      </c>
      <c r="H137">
        <v>24</v>
      </c>
    </row>
    <row r="138" spans="1:8" x14ac:dyDescent="0.45">
      <c r="A138">
        <v>2026</v>
      </c>
      <c r="B138" t="s">
        <v>44</v>
      </c>
      <c r="C138" t="s">
        <v>34</v>
      </c>
      <c r="D138" t="s">
        <v>20</v>
      </c>
      <c r="E138">
        <v>4.8499999999999996</v>
      </c>
      <c r="F138">
        <v>0.6</v>
      </c>
      <c r="G138">
        <v>19.399999999999999</v>
      </c>
      <c r="H138">
        <v>24</v>
      </c>
    </row>
    <row r="139" spans="1:8" x14ac:dyDescent="0.45">
      <c r="A139">
        <v>2025</v>
      </c>
      <c r="B139" t="s">
        <v>44</v>
      </c>
      <c r="C139" t="s">
        <v>34</v>
      </c>
      <c r="D139" t="s">
        <v>20</v>
      </c>
      <c r="E139">
        <v>4.3899999999999997</v>
      </c>
      <c r="F139">
        <v>0.62</v>
      </c>
      <c r="G139">
        <v>17.600000000000001</v>
      </c>
      <c r="H139">
        <v>21</v>
      </c>
    </row>
    <row r="140" spans="1:8" x14ac:dyDescent="0.45">
      <c r="A140">
        <v>2024</v>
      </c>
      <c r="B140" t="s">
        <v>43</v>
      </c>
      <c r="C140" t="s">
        <v>22</v>
      </c>
      <c r="D140" t="s">
        <v>20</v>
      </c>
      <c r="E140">
        <v>4.37</v>
      </c>
      <c r="F140">
        <v>0.43</v>
      </c>
      <c r="G140">
        <v>17.5</v>
      </c>
      <c r="H140">
        <v>21</v>
      </c>
    </row>
    <row r="141" spans="1:8" x14ac:dyDescent="0.45">
      <c r="A141">
        <v>2022</v>
      </c>
      <c r="B141" t="s">
        <v>42</v>
      </c>
      <c r="C141" t="s">
        <v>14</v>
      </c>
      <c r="D141" t="s">
        <v>10</v>
      </c>
      <c r="E141">
        <v>4.22</v>
      </c>
      <c r="F141">
        <v>-0.25</v>
      </c>
      <c r="G141">
        <v>6.3</v>
      </c>
      <c r="H141">
        <v>21</v>
      </c>
    </row>
    <row r="142" spans="1:8" x14ac:dyDescent="0.45">
      <c r="A142">
        <v>2024</v>
      </c>
      <c r="B142" t="s">
        <v>44</v>
      </c>
      <c r="C142" t="s">
        <v>34</v>
      </c>
      <c r="D142" t="s">
        <v>20</v>
      </c>
      <c r="E142">
        <v>4.21</v>
      </c>
      <c r="F142">
        <v>0.54</v>
      </c>
      <c r="G142">
        <v>16.899999999999999</v>
      </c>
      <c r="H142">
        <v>21</v>
      </c>
    </row>
    <row r="143" spans="1:8" x14ac:dyDescent="0.45">
      <c r="A143">
        <v>2023</v>
      </c>
      <c r="B143" t="s">
        <v>43</v>
      </c>
      <c r="C143" t="s">
        <v>22</v>
      </c>
      <c r="D143" t="s">
        <v>20</v>
      </c>
      <c r="E143">
        <v>3.96</v>
      </c>
      <c r="F143">
        <v>0.45</v>
      </c>
      <c r="G143">
        <v>15.8</v>
      </c>
      <c r="H143">
        <v>19</v>
      </c>
    </row>
    <row r="144" spans="1:8" x14ac:dyDescent="0.45">
      <c r="A144">
        <v>2023</v>
      </c>
      <c r="B144" t="s">
        <v>44</v>
      </c>
      <c r="C144" t="s">
        <v>34</v>
      </c>
      <c r="D144" t="s">
        <v>20</v>
      </c>
      <c r="E144">
        <v>3.89</v>
      </c>
      <c r="F144">
        <v>0.51</v>
      </c>
      <c r="G144">
        <v>15.6</v>
      </c>
      <c r="H144">
        <v>19</v>
      </c>
    </row>
    <row r="145" spans="1:8" x14ac:dyDescent="0.45">
      <c r="A145">
        <v>2022</v>
      </c>
      <c r="B145" t="s">
        <v>44</v>
      </c>
      <c r="C145" t="s">
        <v>34</v>
      </c>
      <c r="D145" t="s">
        <v>20</v>
      </c>
      <c r="E145">
        <v>3.19</v>
      </c>
      <c r="F145">
        <v>-0.05</v>
      </c>
      <c r="G145">
        <v>12.8</v>
      </c>
      <c r="H145">
        <v>15</v>
      </c>
    </row>
    <row r="146" spans="1:8" x14ac:dyDescent="0.45">
      <c r="A146">
        <v>2026</v>
      </c>
      <c r="B146" t="s">
        <v>45</v>
      </c>
      <c r="C146" t="s">
        <v>17</v>
      </c>
      <c r="D146" t="s">
        <v>10</v>
      </c>
      <c r="E146">
        <v>3.11</v>
      </c>
      <c r="F146">
        <v>-0.71</v>
      </c>
      <c r="G146">
        <v>4.7</v>
      </c>
      <c r="H146">
        <v>15</v>
      </c>
    </row>
    <row r="147" spans="1:8" x14ac:dyDescent="0.45">
      <c r="A147">
        <v>2022</v>
      </c>
      <c r="B147" t="s">
        <v>43</v>
      </c>
      <c r="C147" t="s">
        <v>22</v>
      </c>
      <c r="D147" t="s">
        <v>20</v>
      </c>
      <c r="E147">
        <v>1.58</v>
      </c>
      <c r="F147">
        <v>-0.02</v>
      </c>
      <c r="G147">
        <v>6.3</v>
      </c>
      <c r="H147">
        <v>7</v>
      </c>
    </row>
    <row r="148" spans="1:8" x14ac:dyDescent="0.45">
      <c r="A148">
        <v>2025</v>
      </c>
      <c r="B148" t="s">
        <v>45</v>
      </c>
      <c r="C148" t="s">
        <v>17</v>
      </c>
      <c r="D148" t="s">
        <v>10</v>
      </c>
      <c r="E148">
        <v>1.49</v>
      </c>
      <c r="F148">
        <v>0.05</v>
      </c>
      <c r="G148">
        <v>2.2000000000000002</v>
      </c>
      <c r="H148">
        <v>7</v>
      </c>
    </row>
    <row r="149" spans="1:8" x14ac:dyDescent="0.45">
      <c r="A149">
        <v>2024</v>
      </c>
      <c r="B149" t="s">
        <v>45</v>
      </c>
      <c r="C149" t="s">
        <v>17</v>
      </c>
      <c r="D149" t="s">
        <v>10</v>
      </c>
      <c r="E149">
        <v>0.52</v>
      </c>
      <c r="F149">
        <v>0</v>
      </c>
      <c r="G149">
        <v>0.8</v>
      </c>
      <c r="H149">
        <v>2</v>
      </c>
    </row>
    <row r="150" spans="1:8" x14ac:dyDescent="0.45">
      <c r="A150">
        <v>2023</v>
      </c>
      <c r="B150" t="s">
        <v>45</v>
      </c>
      <c r="C150" t="s">
        <v>17</v>
      </c>
      <c r="D150" t="s">
        <v>10</v>
      </c>
      <c r="E150">
        <v>0.01</v>
      </c>
      <c r="F150">
        <v>0</v>
      </c>
      <c r="G150">
        <v>0</v>
      </c>
      <c r="H150">
        <v>0</v>
      </c>
    </row>
    <row r="151" spans="1:8" x14ac:dyDescent="0.45">
      <c r="E151">
        <f>SUBTOTAL(109,Table1[revenue_usd_bn])</f>
        <v>3036.6399999999962</v>
      </c>
      <c r="F151" s="16">
        <f>SUBTOTAL(109,Table1[operating_income_usd_bn])</f>
        <v>212.62000000000006</v>
      </c>
      <c r="G151">
        <f>SUBTOTAL(109,Table1[passengers_carried_m])</f>
        <v>5616.3000000000029</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Region</vt:lpstr>
      <vt:lpstr>Sheet1</vt:lpstr>
      <vt:lpstr>Airline Revenue</vt:lpstr>
      <vt:lpstr>Passenger</vt:lpstr>
      <vt:lpstr>Bus Model</vt:lpstr>
      <vt:lpstr>5 Year Trend</vt:lpstr>
      <vt:lpstr>Dashboard</vt:lpstr>
      <vt:lpstr>Airline Business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Ayokunle Arowolo</dc:creator>
  <cp:lastModifiedBy>Ayokunle Arowolo</cp:lastModifiedBy>
  <cp:lastPrinted>2026-08-09T18:15:57Z</cp:lastPrinted>
  <dcterms:created xsi:type="dcterms:W3CDTF">2026-08-03T21:38:53Z</dcterms:created>
  <dcterms:modified xsi:type="dcterms:W3CDTF">2026-08-27T23:52:31Z</dcterms:modified>
</cp:coreProperties>
</file>